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mberShamim\Downloads\"/>
    </mc:Choice>
  </mc:AlternateContent>
  <xr:revisionPtr revIDLastSave="0" documentId="13_ncr:1_{66A9839C-769E-4B4F-9BCF-AB14154BA255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Project Data" sheetId="1" r:id="rId1"/>
    <sheet name="_Pivot" sheetId="2" state="hidden" r:id="rId2"/>
    <sheet name="Dashboard" sheetId="3" r:id="rId3"/>
    <sheet name="Template Guide" sheetId="4" state="hidden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2" i="2" l="1"/>
  <c r="B50" i="3"/>
  <c r="C50" i="3" s="1"/>
  <c r="D50" i="3" s="1"/>
  <c r="B49" i="3"/>
  <c r="C49" i="3" s="1"/>
  <c r="D49" i="3" s="1"/>
  <c r="B48" i="3"/>
  <c r="C48" i="3" s="1"/>
  <c r="D48" i="3" s="1"/>
  <c r="B47" i="3"/>
  <c r="C47" i="3" s="1"/>
  <c r="D47" i="3" s="1"/>
  <c r="B43" i="3"/>
  <c r="I35" i="3"/>
  <c r="J35" i="3" s="1"/>
  <c r="I34" i="3"/>
  <c r="J34" i="3" s="1"/>
  <c r="I33" i="3"/>
  <c r="J33" i="3" s="1"/>
  <c r="I32" i="3"/>
  <c r="J32" i="3" s="1"/>
  <c r="I31" i="3"/>
  <c r="J31" i="3" s="1"/>
  <c r="I30" i="3"/>
  <c r="J30" i="3" s="1"/>
  <c r="I29" i="3"/>
  <c r="J29" i="3" s="1"/>
  <c r="I28" i="3"/>
  <c r="J28" i="3" s="1"/>
  <c r="I6" i="3"/>
  <c r="G6" i="3"/>
  <c r="E6" i="3"/>
  <c r="A6" i="3"/>
  <c r="A13" i="3" l="1"/>
  <c r="B2" i="2"/>
  <c r="A3" i="2"/>
  <c r="A4" i="2" s="1"/>
  <c r="A15" i="3" l="1"/>
  <c r="B4" i="2"/>
  <c r="A5" i="2"/>
  <c r="D13" i="3"/>
  <c r="C13" i="3"/>
  <c r="B13" i="3"/>
  <c r="A14" i="3"/>
  <c r="B3" i="2"/>
  <c r="A6" i="2" l="1"/>
  <c r="A7" i="2"/>
  <c r="D14" i="3"/>
  <c r="C14" i="3"/>
  <c r="B14" i="3"/>
  <c r="A16" i="3"/>
  <c r="B5" i="2"/>
  <c r="C15" i="3"/>
  <c r="D15" i="3"/>
  <c r="B15" i="3"/>
  <c r="B16" i="3" l="1"/>
  <c r="D16" i="3"/>
  <c r="C16" i="3"/>
  <c r="A18" i="3"/>
  <c r="B7" i="2"/>
  <c r="B6" i="2"/>
  <c r="A17" i="3"/>
  <c r="A8" i="2"/>
  <c r="B8" i="2" l="1"/>
  <c r="A19" i="3"/>
  <c r="A9" i="2"/>
  <c r="C18" i="3"/>
  <c r="B18" i="3"/>
  <c r="D18" i="3"/>
  <c r="C17" i="3"/>
  <c r="D17" i="3"/>
  <c r="B17" i="3"/>
  <c r="B9" i="2" l="1"/>
  <c r="A20" i="3"/>
  <c r="A10" i="2"/>
  <c r="D19" i="3"/>
  <c r="C19" i="3"/>
  <c r="B19" i="3"/>
  <c r="A21" i="3" l="1"/>
  <c r="B10" i="2"/>
  <c r="A11" i="2"/>
  <c r="D20" i="3"/>
  <c r="C20" i="3"/>
  <c r="B20" i="3"/>
  <c r="A22" i="3" l="1"/>
  <c r="B11" i="2"/>
  <c r="A12" i="2"/>
  <c r="D21" i="3"/>
  <c r="C21" i="3"/>
  <c r="B21" i="3"/>
  <c r="B12" i="2" l="1"/>
  <c r="A23" i="3"/>
  <c r="A13" i="2"/>
  <c r="C22" i="3"/>
  <c r="D22" i="3"/>
  <c r="B22" i="3"/>
  <c r="A24" i="3" l="1"/>
  <c r="B13" i="2"/>
  <c r="A14" i="2"/>
  <c r="B23" i="3"/>
  <c r="D23" i="3"/>
  <c r="C23" i="3"/>
  <c r="C24" i="3" l="1"/>
  <c r="D24" i="3"/>
  <c r="B24" i="3"/>
  <c r="A25" i="3"/>
  <c r="B14" i="2"/>
  <c r="A15" i="2"/>
  <c r="C25" i="3" l="1"/>
  <c r="B25" i="3"/>
  <c r="D25" i="3"/>
  <c r="A26" i="3"/>
  <c r="B15" i="2"/>
  <c r="A16" i="2"/>
  <c r="B16" i="2" l="1"/>
  <c r="A27" i="3"/>
  <c r="A17" i="2"/>
  <c r="D26" i="3"/>
  <c r="C26" i="3"/>
  <c r="B26" i="3"/>
  <c r="B17" i="2" l="1"/>
  <c r="A28" i="3"/>
  <c r="A18" i="2"/>
  <c r="D27" i="3"/>
  <c r="C27" i="3"/>
  <c r="B27" i="3"/>
  <c r="A29" i="3" l="1"/>
  <c r="B18" i="2"/>
  <c r="A19" i="2"/>
  <c r="D28" i="3"/>
  <c r="C28" i="3"/>
  <c r="B28" i="3"/>
  <c r="B19" i="2" l="1"/>
  <c r="A30" i="3"/>
  <c r="A20" i="2"/>
  <c r="D29" i="3"/>
  <c r="C29" i="3"/>
  <c r="B29" i="3"/>
  <c r="B20" i="2" l="1"/>
  <c r="A31" i="3"/>
  <c r="A21" i="2"/>
  <c r="C30" i="3"/>
  <c r="D30" i="3"/>
  <c r="B30" i="3"/>
  <c r="A32" i="3" l="1"/>
  <c r="B21" i="2"/>
  <c r="A22" i="2"/>
  <c r="C31" i="3"/>
  <c r="D31" i="3"/>
  <c r="B31" i="3"/>
  <c r="B22" i="2" l="1"/>
  <c r="A33" i="3"/>
  <c r="A23" i="2"/>
  <c r="D32" i="3"/>
  <c r="C32" i="3"/>
  <c r="B32" i="3"/>
  <c r="B33" i="3" l="1"/>
  <c r="D33" i="3"/>
  <c r="C33" i="3"/>
  <c r="A34" i="3"/>
  <c r="B23" i="2"/>
  <c r="A24" i="2"/>
  <c r="B24" i="2" l="1"/>
  <c r="A35" i="3"/>
  <c r="A25" i="2"/>
  <c r="C34" i="3"/>
  <c r="B34" i="3"/>
  <c r="D34" i="3"/>
  <c r="B25" i="2" l="1"/>
  <c r="A36" i="3"/>
  <c r="A26" i="2"/>
  <c r="D35" i="3"/>
  <c r="C35" i="3"/>
  <c r="B35" i="3"/>
  <c r="A37" i="3" l="1"/>
  <c r="B26" i="2"/>
  <c r="A27" i="2"/>
  <c r="D36" i="3"/>
  <c r="C36" i="3"/>
  <c r="B36" i="3"/>
  <c r="A38" i="3" l="1"/>
  <c r="B27" i="2"/>
  <c r="A28" i="2"/>
  <c r="D37" i="3"/>
  <c r="B37" i="3"/>
  <c r="C37" i="3"/>
  <c r="A39" i="3" l="1"/>
  <c r="B28" i="2"/>
  <c r="A29" i="2"/>
  <c r="D38" i="3"/>
  <c r="C38" i="3"/>
  <c r="B38" i="3"/>
  <c r="A40" i="3" l="1"/>
  <c r="B29" i="2"/>
  <c r="A30" i="2"/>
  <c r="D39" i="3"/>
  <c r="C39" i="3"/>
  <c r="B39" i="3"/>
  <c r="B30" i="2" l="1"/>
  <c r="A41" i="3"/>
  <c r="A31" i="2"/>
  <c r="C40" i="3"/>
  <c r="B40" i="3"/>
  <c r="D40" i="3"/>
  <c r="B31" i="2" l="1"/>
  <c r="A42" i="3"/>
  <c r="C6" i="3"/>
  <c r="D41" i="3"/>
  <c r="C41" i="3"/>
  <c r="B41" i="3"/>
  <c r="C30" i="2"/>
  <c r="B42" i="3" l="1"/>
  <c r="D42" i="3"/>
  <c r="C42" i="3"/>
  <c r="C43" i="3" s="1"/>
  <c r="C31" i="2"/>
  <c r="C3" i="2"/>
  <c r="C2" i="2"/>
  <c r="C4" i="2"/>
  <c r="C5" i="2"/>
  <c r="C6" i="2"/>
  <c r="C7" i="2"/>
  <c r="C9" i="2"/>
  <c r="C8" i="2"/>
  <c r="C12" i="2"/>
  <c r="C10" i="2"/>
  <c r="C11" i="2"/>
  <c r="C15" i="2"/>
  <c r="C14" i="2"/>
  <c r="C13" i="2"/>
  <c r="C17" i="2"/>
  <c r="C18" i="2"/>
  <c r="C19" i="2"/>
  <c r="C16" i="2"/>
  <c r="C21" i="2"/>
  <c r="C23" i="2"/>
  <c r="C20" i="2"/>
  <c r="C22" i="2"/>
  <c r="C28" i="2"/>
  <c r="C25" i="2"/>
  <c r="C29" i="2"/>
  <c r="C27" i="2"/>
  <c r="C24" i="2"/>
  <c r="C26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<sst xmlns="http://schemas.openxmlformats.org/spreadsheetml/2006/main" count="93" uniqueCount="87">
  <si>
    <t>:candidates:fullname</t>
  </si>
  <si>
    <t>:candidates:positions*1:company</t>
  </si>
  <si>
    <t>:candidates:latestPositions*1:title</t>
  </si>
  <si>
    <t>:candidates:positions*1:location</t>
  </si>
  <si>
    <t>:candidates:pipelineTags*1</t>
  </si>
  <si>
    <t>:candidates:custom:boYK</t>
  </si>
  <si>
    <t>:candidates:notes:latest:researcher:tag:date</t>
  </si>
  <si>
    <t>Name</t>
  </si>
  <si>
    <t>Current Company</t>
  </si>
  <si>
    <t>Current Role</t>
  </si>
  <si>
    <t>Location</t>
  </si>
  <si>
    <t>Pipeline Tag</t>
  </si>
  <si>
    <t>Gender</t>
  </si>
  <si>
    <t>Notes</t>
  </si>
  <si>
    <t>← Tool populates data from this row downward. Any number of rows.</t>
  </si>
  <si>
    <t>_tag</t>
  </si>
  <si>
    <t>_count</t>
  </si>
  <si>
    <t>_pct</t>
  </si>
  <si>
    <t>PROJECT REPORT  ·  {{project_name}}  ·  {{report_date}}</t>
  </si>
  <si>
    <t>Total Candidates</t>
  </si>
  <si>
    <t>Unique Tags</t>
  </si>
  <si>
    <t>In Interview</t>
  </si>
  <si>
    <t>Offers Made</t>
  </si>
  <si>
    <t>Placed</t>
  </si>
  <si>
    <t>PIPELINE BREAKDOWN</t>
  </si>
  <si>
    <t>PROJECT DETAILS</t>
  </si>
  <si>
    <t>Count</t>
  </si>
  <si>
    <t>% of Total</t>
  </si>
  <si>
    <t>Distribution</t>
  </si>
  <si>
    <t>Project Name</t>
  </si>
  <si>
    <t>{{project_name}}</t>
  </si>
  <si>
    <t>Assignment Type</t>
  </si>
  <si>
    <t>{{assignment_type}}</t>
  </si>
  <si>
    <t>Client</t>
  </si>
  <si>
    <t>{{client_name}}</t>
  </si>
  <si>
    <t>Lead Consultant</t>
  </si>
  <si>
    <t>{{lead_consultant}}</t>
  </si>
  <si>
    <t>Researcher</t>
  </si>
  <si>
    <t>{{researcher_name}}</t>
  </si>
  <si>
    <t>Date Created</t>
  </si>
  <si>
    <t>{{date_created}}</t>
  </si>
  <si>
    <t>Report Date</t>
  </si>
  <si>
    <t>{{report_date}}</t>
  </si>
  <si>
    <t>Status</t>
  </si>
  <si>
    <t>{{project_status}}</t>
  </si>
  <si>
    <t>Practice</t>
  </si>
  <si>
    <t>{{practice_area}}</t>
  </si>
  <si>
    <t>Geography</t>
  </si>
  <si>
    <t>{{geography}}</t>
  </si>
  <si>
    <t>TOP LOCATIONS</t>
  </si>
  <si>
    <t>%</t>
  </si>
  <si>
    <t>{{top_location_1}}</t>
  </si>
  <si>
    <t>{{top_location_2}}</t>
  </si>
  <si>
    <t>{{top_location_3}}</t>
  </si>
  <si>
    <t>{{top_location_4}}</t>
  </si>
  <si>
    <t>{{top_location_5}}</t>
  </si>
  <si>
    <t>{{top_location_6}}</t>
  </si>
  <si>
    <t>{{top_location_7}}</t>
  </si>
  <si>
    <t>{{top_location_8}}</t>
  </si>
  <si>
    <t>TOTAL</t>
  </si>
  <si>
    <t>GENDER SPLIT</t>
  </si>
  <si>
    <t>Bar</t>
  </si>
  <si>
    <t>Male</t>
  </si>
  <si>
    <t>Female</t>
  </si>
  <si>
    <t>Non-binary / Other</t>
  </si>
  <si>
    <t>Not Specified</t>
  </si>
  <si>
    <t>Sheffield Haworth  ·  Confidential  ·  Generated via Ezekia Document Generator</t>
  </si>
  <si>
    <t>TEMPLATE GUIDE — Sheffield Haworth Project Report</t>
  </si>
  <si>
    <t>ARCHITECTURE</t>
  </si>
  <si>
    <t>Project Data</t>
  </si>
  <si>
    <t>Tool writes rows from row 3 downward. No row limit. Row 1 (hidden) = Ezekia API keys. Row 2 = display headers.</t>
  </si>
  <si>
    <t>_Pivot (hidden)</t>
  </si>
  <si>
    <t>Extracts unique pipeline tags from Project Data col E using array formulas. Supports up to 30 unique tags. Dashboard reads from here.</t>
  </si>
  <si>
    <t>Dashboard</t>
  </si>
  <si>
    <t>Reads _Pivot for pipeline breakdown (dynamic, no hardcoded tags). All counts/% are formulas.</t>
  </si>
  <si>
    <t>TOOL RESPONSIBILITIES</t>
  </si>
  <si>
    <t>1. Candidate rows</t>
  </si>
  <si>
    <t>Write data into Project Data from row 3. Any number of rows.</t>
  </si>
  <si>
    <t>2. Metadata tokens</t>
  </si>
  <si>
    <t>Replace {{mustache}} placeholders in Dashboard metadata panel.</t>
  </si>
  <si>
    <t>3. Top locations</t>
  </si>
  <si>
    <t>Write top-N location names into Dashboard F28:F35. Counts auto-calculate.</t>
  </si>
  <si>
    <t>PIPELINE TAGS</t>
  </si>
  <si>
    <t>Dynamic</t>
  </si>
  <si>
    <t>Tags are NOT hardcoded. _Pivot extracts whatever unique values exist in col E of Project Data.</t>
  </si>
  <si>
    <t>Up to 30 unique tags</t>
  </si>
  <si>
    <t>Dashboard pipeline table has 30 rows — blank rows hide automatically when tag is empty.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</si>
</sst>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3">
    <font>
      <sz val="11"/>
      <color theme="1"/>
      <name val="Calibri"/>
      <family val="2"/>
      <charset val="1"/>
    </font>
    <font>
      <i/>
      <sz val="8"/>
      <color rgb="FF6B6B6B"/>
      <name val="Arial"/>
      <charset val="1"/>
    </font>
    <font>
      <b/>
      <sz val="10"/>
      <color rgb="FFFFFFFF"/>
      <name val="Arial"/>
      <charset val="1"/>
    </font>
    <font>
      <i/>
      <sz val="8"/>
      <color rgb="FFAAAAAA"/>
      <name val="Arial"/>
      <charset val="1"/>
    </font>
    <font>
      <sz val="8"/>
      <color rgb="FF888888"/>
      <name val="Arial"/>
      <charset val="1"/>
    </font>
    <font>
      <b/>
      <sz val="22"/>
      <color rgb="FFC8A96E"/>
      <name val="Arial"/>
      <charset val="1"/>
    </font>
    <font>
      <sz val="6"/>
      <color rgb="FFC8A96E"/>
      <name val="Arial"/>
      <charset val="1"/>
    </font>
    <font>
      <b/>
      <sz val="28"/>
      <color rgb="FFFFFFFF"/>
      <name val="Arial"/>
      <charset val="1"/>
    </font>
    <font>
      <b/>
      <sz val="9"/>
      <color rgb="FFC8A96E"/>
      <name val="Arial"/>
      <charset val="1"/>
    </font>
    <font>
      <b/>
      <sz val="9"/>
      <color rgb="FFFFFFFF"/>
      <name val="Arial"/>
      <charset val="1"/>
    </font>
    <font>
      <b/>
      <sz val="9"/>
      <color rgb="FF1A1A2E"/>
      <name val="Arial"/>
      <charset val="1"/>
    </font>
    <font>
      <i/>
      <sz val="9"/>
      <color rgb="FF2C2C2C"/>
      <name val="Arial"/>
      <charset val="1"/>
    </font>
    <font>
      <sz val="9"/>
      <color rgb="FF2C2C2C"/>
      <name val="Arial"/>
      <charset val="1"/>
    </font>
    <font>
      <sz val="9"/>
      <color rgb="FF6B6B6B"/>
      <name val="Arial"/>
      <charset val="1"/>
    </font>
    <font>
      <sz val="7"/>
      <color rgb="FFC8A96E"/>
      <name val="Arial"/>
      <charset val="1"/>
    </font>
    <font>
      <i/>
      <sz val="9"/>
      <color rgb="FF6B6B6B"/>
      <name val="Arial"/>
      <charset val="1"/>
    </font>
    <font>
      <sz val="3"/>
      <color rgb="FFC8A96E"/>
      <name val="Arial"/>
      <charset val="1"/>
    </font>
    <font>
      <b/>
      <sz val="12"/>
      <color rgb="FFC8A96E"/>
      <name val="Arial"/>
      <charset val="1"/>
    </font>
    <font>
      <sz val="9"/>
      <color rgb="FF333333"/>
      <name val="Arial"/>
      <charset val="1"/>
    </font>
    <font>
      <sz val="9"/>
      <color rgb="FF888888"/>
      <name val="Arial"/>
      <charset val="1"/>
    </font>
    <font>
      <sz val="8"/>
      <color rgb="FF00B0F0"/>
      <name val="Arial"/>
      <family val="2"/>
    </font>
    <font>
      <b/>
      <sz val="9"/>
      <color rgb="FF00B0F0"/>
      <name val="Arial"/>
      <family val="2"/>
    </font>
    <font>
      <sz val="11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0EDE5"/>
        <bgColor rgb="FFE8E8E2"/>
      </patternFill>
    </fill>
    <fill>
      <patternFill patternType="solid">
        <fgColor rgb="FF1A1A2E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E8E8E2"/>
        <bgColor rgb="FFF0EDE5"/>
      </patternFill>
    </fill>
    <fill>
      <patternFill patternType="solid">
        <fgColor rgb="FFFFFFFF"/>
        <bgColor rgb="FFF5F5F0"/>
      </patternFill>
    </fill>
    <fill>
      <patternFill patternType="solid">
        <fgColor rgb="FFF5F5F0"/>
        <bgColor rgb="FFF0EDE5"/>
      </patternFill>
    </fill>
    <fill>
      <patternFill patternType="solid">
        <fgColor rgb="FF00B0F0"/>
        <bgColor rgb="FFAAAAAA"/>
      </patternFill>
    </fill>
    <fill>
      <patternFill patternType="solid">
        <fgColor theme="3" tint="-0.249977111117893"/>
        <bgColor rgb="FF1A1A2E"/>
      </patternFill>
    </fill>
  </fills>
  <borders count="4">
    <border>
      <left/>
      <right/>
      <top/>
      <bottom/>
      <diagonal/>
    </border>
    <border>
      <left style="thin">
        <color rgb="FFD4C5A0"/>
      </left>
      <right style="thin">
        <color rgb="FFD4C5A0"/>
      </right>
      <top style="thin">
        <color rgb="FFD4C5A0"/>
      </top>
      <bottom style="thin">
        <color rgb="FFD4C5A0"/>
      </bottom>
      <diagonal/>
    </border>
    <border>
      <left style="thin">
        <color rgb="FFC8A96E"/>
      </left>
      <right style="thin">
        <color rgb="FFC8A96E"/>
      </right>
      <top style="thin">
        <color rgb="FFC8A96E"/>
      </top>
      <bottom style="thin">
        <color rgb="FFC8A96E"/>
      </bottom>
      <diagonal/>
    </border>
    <border>
      <left style="thin">
        <color rgb="FFD4C5A0"/>
      </left>
      <right/>
      <top style="thin">
        <color rgb="FFD4C5A0"/>
      </top>
      <bottom style="thin">
        <color rgb="FFD4C5A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7" fillId="3" borderId="0" xfId="0" applyFont="1" applyFill="1" applyAlignment="1">
      <alignment horizontal="left" vertical="center" indent="1"/>
    </xf>
    <xf numFmtId="0" fontId="1" fillId="5" borderId="0" xfId="0" applyFont="1" applyFill="1" applyAlignment="1">
      <alignment horizontal="center" vertical="center"/>
    </xf>
    <xf numFmtId="0" fontId="15" fillId="6" borderId="1" xfId="0" applyFont="1" applyFill="1" applyBorder="1" applyAlignment="1">
      <alignment horizontal="left" vertical="center" indent="1"/>
    </xf>
    <xf numFmtId="0" fontId="15" fillId="7" borderId="1" xfId="0" applyFont="1" applyFill="1" applyBorder="1" applyAlignment="1">
      <alignment horizontal="left" vertical="center" indent="1"/>
    </xf>
    <xf numFmtId="0" fontId="11" fillId="6" borderId="3" xfId="0" applyFont="1" applyFill="1" applyBorder="1" applyAlignment="1">
      <alignment horizontal="left" vertical="center" indent="1"/>
    </xf>
    <xf numFmtId="0" fontId="10" fillId="5" borderId="3" xfId="0" applyFont="1" applyFill="1" applyBorder="1" applyAlignment="1">
      <alignment horizontal="left" vertical="center" indent="1"/>
    </xf>
    <xf numFmtId="0" fontId="7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 indent="1"/>
    </xf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3" fillId="0" borderId="0" xfId="0" applyFont="1"/>
    <xf numFmtId="0" fontId="4" fillId="0" borderId="0" xfId="0" applyFont="1"/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left" vertical="center" indent="1"/>
    </xf>
    <xf numFmtId="3" fontId="10" fillId="7" borderId="1" xfId="0" applyNumberFormat="1" applyFont="1" applyFill="1" applyBorder="1" applyAlignment="1">
      <alignment horizontal="center" vertical="center"/>
    </xf>
    <xf numFmtId="164" fontId="13" fillId="7" borderId="1" xfId="0" applyNumberFormat="1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left" vertical="center"/>
    </xf>
    <xf numFmtId="0" fontId="12" fillId="6" borderId="1" xfId="0" applyFont="1" applyFill="1" applyBorder="1" applyAlignment="1">
      <alignment horizontal="left" vertical="center" indent="1"/>
    </xf>
    <xf numFmtId="3" fontId="10" fillId="6" borderId="1" xfId="0" applyNumberFormat="1" applyFont="1" applyFill="1" applyBorder="1" applyAlignment="1">
      <alignment horizontal="center" vertical="center"/>
    </xf>
    <xf numFmtId="164" fontId="13" fillId="6" borderId="1" xfId="0" applyNumberFormat="1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left" vertical="center" indent="1"/>
    </xf>
    <xf numFmtId="3" fontId="9" fillId="3" borderId="2" xfId="0" applyNumberFormat="1" applyFont="1" applyFill="1" applyBorder="1" applyAlignment="1">
      <alignment horizontal="center" vertical="center"/>
    </xf>
    <xf numFmtId="164" fontId="9" fillId="3" borderId="2" xfId="0" applyNumberFormat="1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0" fillId="0" borderId="0" xfId="0" applyFont="1"/>
    <xf numFmtId="0" fontId="18" fillId="0" borderId="0" xfId="0" applyFont="1"/>
    <xf numFmtId="0" fontId="19" fillId="0" borderId="0" xfId="0" applyFont="1"/>
    <xf numFmtId="0" fontId="8" fillId="3" borderId="0" xfId="0" applyFont="1" applyFill="1"/>
    <xf numFmtId="0" fontId="6" fillId="8" borderId="0" xfId="0" applyFont="1" applyFill="1" applyAlignment="1">
      <alignment horizontal="left" vertical="center" indent="1"/>
    </xf>
    <xf numFmtId="0" fontId="6" fillId="8" borderId="0" xfId="0" applyFont="1" applyFill="1" applyAlignment="1">
      <alignment horizontal="center" vertical="center"/>
    </xf>
    <xf numFmtId="0" fontId="21" fillId="3" borderId="0" xfId="0" applyFont="1" applyFill="1" applyAlignment="1">
      <alignment horizontal="left" vertical="center" indent="1"/>
    </xf>
    <xf numFmtId="0" fontId="16" fillId="8" borderId="0" xfId="0" applyFont="1" applyFill="1" applyAlignment="1">
      <alignment horizontal="left" vertical="center" indent="1"/>
    </xf>
    <xf numFmtId="0" fontId="20" fillId="9" borderId="0" xfId="0" applyFont="1" applyFill="1" applyAlignment="1">
      <alignment horizontal="center" vertical="center"/>
    </xf>
    <xf numFmtId="0" fontId="22" fillId="9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8B8"/>
      <rgbColor rgb="FF888888"/>
      <rgbColor rgb="FF9999FF"/>
      <rgbColor rgb="FF993366"/>
      <rgbColor rgb="FFF5F5F0"/>
      <rgbColor rgb="FFF0EDE5"/>
      <rgbColor rgb="FF660066"/>
      <rgbColor rgb="FFC8A96E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8E8E2"/>
      <rgbColor rgb="FFFFFF99"/>
      <rgbColor rgb="FF99CCFF"/>
      <rgbColor rgb="FFFF99CC"/>
      <rgbColor rgb="FFCC99FF"/>
      <rgbColor rgb="FFD4C5A0"/>
      <rgbColor rgb="FF3366FF"/>
      <rgbColor rgb="FF33CCCC"/>
      <rgbColor rgb="FF99CC00"/>
      <rgbColor rgb="FFFFCC00"/>
      <rgbColor rgb="FFFF9900"/>
      <rgbColor rgb="FFFF6600"/>
      <rgbColor rgb="FF6B6B6B"/>
      <rgbColor rgb="FFAAAAAA"/>
      <rgbColor rgb="FF16213E"/>
      <rgbColor rgb="FF339966"/>
      <rgbColor rgb="FF1A1A2E"/>
      <rgbColor rgb="FF2C2C2C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richData/_rels/richValueRel.xml.rels><?xml version="1.0" encoding="UTF-8"?>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1A2E"/>
  </sheetPr>
  <dimension ref="A1:G3"/>
  <sheetViews>
    <sheetView showGridLines="0" tabSelected="1" zoomScaleNormal="100" workbookViewId="0">
      <pane ySplit="2" topLeftCell="A3" activePane="bottomLeft" state="frozen"/>
      <selection pane="bottomLeft" activeCell="A2" sqref="A2"/>
    </sheetView>
  </sheetViews>
  <sheetFormatPr defaultColWidth="8.6328125" defaultRowHeight="14.5"/>
  <cols>
    <col min="1" max="2" width="28" customWidth="1"/>
    <col min="3" max="3" width="32" customWidth="1"/>
    <col min="4" max="5" width="20" customWidth="1"/>
    <col min="6" max="6" width="12" customWidth="1"/>
    <col min="7" max="7" width="50" customWidth="1"/>
  </cols>
  <sheetData>
    <row r="1" spans="1:7" hidden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25.5" customHeight="1">
      <c r="A2" s="10" t="s">
        <v>7</v>
      </c>
      <c r="B2" s="10" t="s">
        <v>8</v>
      </c>
      <c r="C2" s="10" t="s">
        <v>9</v>
      </c>
      <c r="D2" s="10" t="s">
        <v>10</v>
      </c>
      <c r="E2" s="10" t="s">
        <v>11</v>
      </c>
      <c r="F2" s="10" t="s">
        <v>12</v>
      </c>
      <c r="G2" s="10" t="s">
        <v>13</v>
      </c>
    </row>
    <row r="3" spans="1:7" ht="15.75" customHeight="1">
      <c r="A3" t="s">
        <v>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"/>
  <sheetViews>
    <sheetView zoomScaleNormal="100" workbookViewId="0"/>
  </sheetViews>
  <sheetFormatPr defaultColWidth="8.6328125" defaultRowHeight="14.5"/>
  <sheetData>
    <row r="1" spans="1:3">
      <c r="A1" s="12" t="s">
        <v>15</v>
      </c>
      <c r="B1" s="12" t="s">
        <v>16</v>
      </c>
      <c r="C1" s="12" t="s">
        <v>17</v>
      </c>
    </row>
    <row r="2" spans="1:3">
      <c r="A2" t="str">
        <f>IFERROR(INDEX('Project Data'!$E$3:$E$10000,MATCH(0,COUNTIF($A$1:A1,'Project Data'!$E$3:$E$10000)+(('Project Data'!$E$3:$E$10000)=""),0)),"")</f>
        <v/>
      </c>
      <c r="B2" t="str">
        <f>IF(A2="","",COUNTIF('Project Data'!$E$3:$E$10000,A2))</f>
        <v/>
      </c>
      <c r="C2" t="str">
        <f t="shared" ref="C2:C31" si="0">IFERROR(B2/SUM($B$2:$B$31),"")</f>
        <v/>
      </c>
    </row>
    <row r="3" spans="1:3">
      <c r="A3" t="str">
        <f>IFERROR(INDEX('Project Data'!$E$3:$E$10000,MATCH(0,COUNTIF($A$1:A2,'Project Data'!$E$3:$E$10000)+(('Project Data'!$E$3:$E$10000)=""),0)),"")</f>
        <v/>
      </c>
      <c r="B3" t="str">
        <f>IF(A3="","",COUNTIF('Project Data'!$E$3:$E$10000,A3))</f>
        <v/>
      </c>
      <c r="C3" t="str">
        <f t="shared" si="0"/>
        <v/>
      </c>
    </row>
    <row r="4" spans="1:3">
      <c r="A4" t="str">
        <f>IFERROR(INDEX('Project Data'!$E$3:$E$10000,MATCH(0,COUNTIF($A$1:A3,'Project Data'!$E$3:$E$10000)+(('Project Data'!$E$3:$E$10000)=""),0)),"")</f>
        <v/>
      </c>
      <c r="B4" t="str">
        <f>IF(A4="","",COUNTIF('Project Data'!$E$3:$E$10000,A4))</f>
        <v/>
      </c>
      <c r="C4" t="str">
        <f t="shared" si="0"/>
        <v/>
      </c>
    </row>
    <row r="5" spans="1:3">
      <c r="A5" t="str">
        <f>IFERROR(INDEX('Project Data'!$E$3:$E$10000,MATCH(0,COUNTIF($A$1:A4,'Project Data'!$E$3:$E$10000)+(('Project Data'!$E$3:$E$10000)=""),0)),"")</f>
        <v/>
      </c>
      <c r="B5" t="str">
        <f>IF(A5="","",COUNTIF('Project Data'!$E$3:$E$10000,A5))</f>
        <v/>
      </c>
      <c r="C5" t="str">
        <f t="shared" si="0"/>
        <v/>
      </c>
    </row>
    <row r="6" spans="1:3">
      <c r="A6" t="str">
        <f>IFERROR(INDEX('Project Data'!$E$3:$E$10000,MATCH(0,COUNTIF($A$1:A5,'Project Data'!$E$3:$E$10000)+(('Project Data'!$E$3:$E$10000)=""),0)),"")</f>
        <v/>
      </c>
      <c r="B6" t="str">
        <f>IF(A6="","",COUNTIF('Project Data'!$E$3:$E$10000,A6))</f>
        <v/>
      </c>
      <c r="C6" t="str">
        <f t="shared" si="0"/>
        <v/>
      </c>
    </row>
    <row r="7" spans="1:3">
      <c r="A7" t="str">
        <f>IFERROR(INDEX('Project Data'!$E$3:$E$10000,MATCH(0,COUNTIF($A$1:A6,'Project Data'!$E$3:$E$10000)+(('Project Data'!$E$3:$E$10000)=""),0)),"")</f>
        <v/>
      </c>
      <c r="B7" t="str">
        <f>IF(A7="","",COUNTIF('Project Data'!$E$3:$E$10000,A7))</f>
        <v/>
      </c>
      <c r="C7" t="str">
        <f t="shared" si="0"/>
        <v/>
      </c>
    </row>
    <row r="8" spans="1:3">
      <c r="A8" t="str">
        <f>IFERROR(INDEX('Project Data'!$E$3:$E$10000,MATCH(0,COUNTIF($A$1:A7,'Project Data'!$E$3:$E$10000)+(('Project Data'!$E$3:$E$10000)=""),0)),"")</f>
        <v/>
      </c>
      <c r="B8" t="str">
        <f>IF(A8="","",COUNTIF('Project Data'!$E$3:$E$10000,A8))</f>
        <v/>
      </c>
      <c r="C8" t="str">
        <f t="shared" si="0"/>
        <v/>
      </c>
    </row>
    <row r="9" spans="1:3">
      <c r="A9" t="str">
        <f>IFERROR(INDEX('Project Data'!$E$3:$E$10000,MATCH(0,COUNTIF($A$1:A8,'Project Data'!$E$3:$E$10000)+(('Project Data'!$E$3:$E$10000)=""),0)),"")</f>
        <v/>
      </c>
      <c r="B9" t="str">
        <f>IF(A9="","",COUNTIF('Project Data'!$E$3:$E$10000,A9))</f>
        <v/>
      </c>
      <c r="C9" t="str">
        <f t="shared" si="0"/>
        <v/>
      </c>
    </row>
    <row r="10" spans="1:3">
      <c r="A10" t="str">
        <f>IFERROR(INDEX('Project Data'!$E$3:$E$10000,MATCH(0,COUNTIF($A$1:A9,'Project Data'!$E$3:$E$10000)+(('Project Data'!$E$3:$E$10000)=""),0)),"")</f>
        <v/>
      </c>
      <c r="B10" t="str">
        <f>IF(A10="","",COUNTIF('Project Data'!$E$3:$E$10000,A10))</f>
        <v/>
      </c>
      <c r="C10" t="str">
        <f t="shared" si="0"/>
        <v/>
      </c>
    </row>
    <row r="11" spans="1:3">
      <c r="A11" t="str">
        <f>IFERROR(INDEX('Project Data'!$E$3:$E$10000,MATCH(0,COUNTIF($A$1:A10,'Project Data'!$E$3:$E$10000)+(('Project Data'!$E$3:$E$10000)=""),0)),"")</f>
        <v/>
      </c>
      <c r="B11" t="str">
        <f>IF(A11="","",COUNTIF('Project Data'!$E$3:$E$10000,A11))</f>
        <v/>
      </c>
      <c r="C11" t="str">
        <f t="shared" si="0"/>
        <v/>
      </c>
    </row>
    <row r="12" spans="1:3">
      <c r="A12" t="str">
        <f>IFERROR(INDEX('Project Data'!$E$3:$E$10000,MATCH(0,COUNTIF($A$1:A11,'Project Data'!$E$3:$E$10000)+(('Project Data'!$E$3:$E$10000)=""),0)),"")</f>
        <v/>
      </c>
      <c r="B12" t="str">
        <f>IF(A12="","",COUNTIF('Project Data'!$E$3:$E$10000,A12))</f>
        <v/>
      </c>
      <c r="C12" t="str">
        <f t="shared" si="0"/>
        <v/>
      </c>
    </row>
    <row r="13" spans="1:3">
      <c r="A13" t="str">
        <f>IFERROR(INDEX('Project Data'!$E$3:$E$10000,MATCH(0,COUNTIF($A$1:A12,'Project Data'!$E$3:$E$10000)+(('Project Data'!$E$3:$E$10000)=""),0)),"")</f>
        <v/>
      </c>
      <c r="B13" t="str">
        <f>IF(A13="","",COUNTIF('Project Data'!$E$3:$E$10000,A13))</f>
        <v/>
      </c>
      <c r="C13" t="str">
        <f t="shared" si="0"/>
        <v/>
      </c>
    </row>
    <row r="14" spans="1:3">
      <c r="A14" t="str">
        <f>IFERROR(INDEX('Project Data'!$E$3:$E$10000,MATCH(0,COUNTIF($A$1:A13,'Project Data'!$E$3:$E$10000)+(('Project Data'!$E$3:$E$10000)=""),0)),"")</f>
        <v/>
      </c>
      <c r="B14" t="str">
        <f>IF(A14="","",COUNTIF('Project Data'!$E$3:$E$10000,A14))</f>
        <v/>
      </c>
      <c r="C14" t="str">
        <f t="shared" si="0"/>
        <v/>
      </c>
    </row>
    <row r="15" spans="1:3">
      <c r="A15" t="str">
        <f>IFERROR(INDEX('Project Data'!$E$3:$E$10000,MATCH(0,COUNTIF($A$1:A14,'Project Data'!$E$3:$E$10000)+(('Project Data'!$E$3:$E$10000)=""),0)),"")</f>
        <v/>
      </c>
      <c r="B15" t="str">
        <f>IF(A15="","",COUNTIF('Project Data'!$E$3:$E$10000,A15))</f>
        <v/>
      </c>
      <c r="C15" t="str">
        <f t="shared" si="0"/>
        <v/>
      </c>
    </row>
    <row r="16" spans="1:3">
      <c r="A16" t="str">
        <f>IFERROR(INDEX('Project Data'!$E$3:$E$10000,MATCH(0,COUNTIF($A$1:A15,'Project Data'!$E$3:$E$10000)+(('Project Data'!$E$3:$E$10000)=""),0)),"")</f>
        <v/>
      </c>
      <c r="B16" t="str">
        <f>IF(A16="","",COUNTIF('Project Data'!$E$3:$E$10000,A16))</f>
        <v/>
      </c>
      <c r="C16" t="str">
        <f t="shared" si="0"/>
        <v/>
      </c>
    </row>
    <row r="17" spans="1:3">
      <c r="A17" t="str">
        <f>IFERROR(INDEX('Project Data'!$E$3:$E$10000,MATCH(0,COUNTIF($A$1:A16,'Project Data'!$E$3:$E$10000)+(('Project Data'!$E$3:$E$10000)=""),0)),"")</f>
        <v/>
      </c>
      <c r="B17" t="str">
        <f>IF(A17="","",COUNTIF('Project Data'!$E$3:$E$10000,A17))</f>
        <v/>
      </c>
      <c r="C17" t="str">
        <f t="shared" si="0"/>
        <v/>
      </c>
    </row>
    <row r="18" spans="1:3">
      <c r="A18" t="str">
        <f>IFERROR(INDEX('Project Data'!$E$3:$E$10000,MATCH(0,COUNTIF($A$1:A17,'Project Data'!$E$3:$E$10000)+(('Project Data'!$E$3:$E$10000)=""),0)),"")</f>
        <v/>
      </c>
      <c r="B18" t="str">
        <f>IF(A18="","",COUNTIF('Project Data'!$E$3:$E$10000,A18))</f>
        <v/>
      </c>
      <c r="C18" t="str">
        <f t="shared" si="0"/>
        <v/>
      </c>
    </row>
    <row r="19" spans="1:3">
      <c r="A19" t="str">
        <f>IFERROR(INDEX('Project Data'!$E$3:$E$10000,MATCH(0,COUNTIF($A$1:A18,'Project Data'!$E$3:$E$10000)+(('Project Data'!$E$3:$E$10000)=""),0)),"")</f>
        <v/>
      </c>
      <c r="B19" t="str">
        <f>IF(A19="","",COUNTIF('Project Data'!$E$3:$E$10000,A19))</f>
        <v/>
      </c>
      <c r="C19" t="str">
        <f t="shared" si="0"/>
        <v/>
      </c>
    </row>
    <row r="20" spans="1:3">
      <c r="A20" t="str">
        <f>IFERROR(INDEX('Project Data'!$E$3:$E$10000,MATCH(0,COUNTIF($A$1:A19,'Project Data'!$E$3:$E$10000)+(('Project Data'!$E$3:$E$10000)=""),0)),"")</f>
        <v/>
      </c>
      <c r="B20" t="str">
        <f>IF(A20="","",COUNTIF('Project Data'!$E$3:$E$10000,A20))</f>
        <v/>
      </c>
      <c r="C20" t="str">
        <f t="shared" si="0"/>
        <v/>
      </c>
    </row>
    <row r="21" spans="1:3">
      <c r="A21" t="str">
        <f>IFERROR(INDEX('Project Data'!$E$3:$E$10000,MATCH(0,COUNTIF($A$1:A20,'Project Data'!$E$3:$E$10000)+(('Project Data'!$E$3:$E$10000)=""),0)),"")</f>
        <v/>
      </c>
      <c r="B21" t="str">
        <f>IF(A21="","",COUNTIF('Project Data'!$E$3:$E$10000,A21))</f>
        <v/>
      </c>
      <c r="C21" t="str">
        <f t="shared" si="0"/>
        <v/>
      </c>
    </row>
    <row r="22" spans="1:3">
      <c r="A22" t="str">
        <f>IFERROR(INDEX('Project Data'!$E$3:$E$10000,MATCH(0,COUNTIF($A$1:A21,'Project Data'!$E$3:$E$10000)+(('Project Data'!$E$3:$E$10000)=""),0)),"")</f>
        <v/>
      </c>
      <c r="B22" t="str">
        <f>IF(A22="","",COUNTIF('Project Data'!$E$3:$E$10000,A22))</f>
        <v/>
      </c>
      <c r="C22" t="str">
        <f t="shared" si="0"/>
        <v/>
      </c>
    </row>
    <row r="23" spans="1:3">
      <c r="A23" t="str">
        <f>IFERROR(INDEX('Project Data'!$E$3:$E$10000,MATCH(0,COUNTIF($A$1:A22,'Project Data'!$E$3:$E$10000)+(('Project Data'!$E$3:$E$10000)=""),0)),"")</f>
        <v/>
      </c>
      <c r="B23" t="str">
        <f>IF(A23="","",COUNTIF('Project Data'!$E$3:$E$10000,A23))</f>
        <v/>
      </c>
      <c r="C23" t="str">
        <f t="shared" si="0"/>
        <v/>
      </c>
    </row>
    <row r="24" spans="1:3">
      <c r="A24" t="str">
        <f>IFERROR(INDEX('Project Data'!$E$3:$E$10000,MATCH(0,COUNTIF($A$1:A23,'Project Data'!$E$3:$E$10000)+(('Project Data'!$E$3:$E$10000)=""),0)),"")</f>
        <v/>
      </c>
      <c r="B24" t="str">
        <f>IF(A24="","",COUNTIF('Project Data'!$E$3:$E$10000,A24))</f>
        <v/>
      </c>
      <c r="C24" t="str">
        <f t="shared" si="0"/>
        <v/>
      </c>
    </row>
    <row r="25" spans="1:3">
      <c r="A25" t="str">
        <f>IFERROR(INDEX('Project Data'!$E$3:$E$10000,MATCH(0,COUNTIF($A$1:A24,'Project Data'!$E$3:$E$10000)+(('Project Data'!$E$3:$E$10000)=""),0)),"")</f>
        <v/>
      </c>
      <c r="B25" t="str">
        <f>IF(A25="","",COUNTIF('Project Data'!$E$3:$E$10000,A25))</f>
        <v/>
      </c>
      <c r="C25" t="str">
        <f t="shared" si="0"/>
        <v/>
      </c>
    </row>
    <row r="26" spans="1:3">
      <c r="A26" t="str">
        <f>IFERROR(INDEX('Project Data'!$E$3:$E$10000,MATCH(0,COUNTIF($A$1:A25,'Project Data'!$E$3:$E$10000)+(('Project Data'!$E$3:$E$10000)=""),0)),"")</f>
        <v/>
      </c>
      <c r="B26" t="str">
        <f>IF(A26="","",COUNTIF('Project Data'!$E$3:$E$10000,A26))</f>
        <v/>
      </c>
      <c r="C26" t="str">
        <f t="shared" si="0"/>
        <v/>
      </c>
    </row>
    <row r="27" spans="1:3">
      <c r="A27" t="str">
        <f>IFERROR(INDEX('Project Data'!$E$3:$E$10000,MATCH(0,COUNTIF($A$1:A26,'Project Data'!$E$3:$E$10000)+(('Project Data'!$E$3:$E$10000)=""),0)),"")</f>
        <v/>
      </c>
      <c r="B27" t="str">
        <f>IF(A27="","",COUNTIF('Project Data'!$E$3:$E$10000,A27))</f>
        <v/>
      </c>
      <c r="C27" t="str">
        <f t="shared" si="0"/>
        <v/>
      </c>
    </row>
    <row r="28" spans="1:3">
      <c r="A28" t="str">
        <f>IFERROR(INDEX('Project Data'!$E$3:$E$10000,MATCH(0,COUNTIF($A$1:A27,'Project Data'!$E$3:$E$10000)+(('Project Data'!$E$3:$E$10000)=""),0)),"")</f>
        <v/>
      </c>
      <c r="B28" t="str">
        <f>IF(A28="","",COUNTIF('Project Data'!$E$3:$E$10000,A28))</f>
        <v/>
      </c>
      <c r="C28" t="str">
        <f t="shared" si="0"/>
        <v/>
      </c>
    </row>
    <row r="29" spans="1:3">
      <c r="A29" t="str">
        <f>IFERROR(INDEX('Project Data'!$E$3:$E$10000,MATCH(0,COUNTIF($A$1:A28,'Project Data'!$E$3:$E$10000)+(('Project Data'!$E$3:$E$10000)=""),0)),"")</f>
        <v/>
      </c>
      <c r="B29" t="str">
        <f>IF(A29="","",COUNTIF('Project Data'!$E$3:$E$10000,A29))</f>
        <v/>
      </c>
      <c r="C29" t="str">
        <f t="shared" si="0"/>
        <v/>
      </c>
    </row>
    <row r="30" spans="1:3">
      <c r="A30" t="str">
        <f>IFERROR(INDEX('Project Data'!$E$3:$E$10000,MATCH(0,COUNTIF($A$1:A29,'Project Data'!$E$3:$E$10000)+(('Project Data'!$E$3:$E$10000)=""),0)),"")</f>
        <v/>
      </c>
      <c r="B30" t="str">
        <f>IF(A30="","",COUNTIF('Project Data'!$E$3:$E$10000,A30))</f>
        <v/>
      </c>
      <c r="C30" t="str">
        <f t="shared" si="0"/>
        <v/>
      </c>
    </row>
    <row r="31" spans="1:3">
      <c r="A31" t="str">
        <f>IFERROR(INDEX('Project Data'!$E$3:$E$10000,MATCH(0,COUNTIF($A$1:A30,'Project Data'!$E$3:$E$10000)+(('Project Data'!$E$3:$E$10000)=""),0)),"")</f>
        <v/>
      </c>
      <c r="B31" t="str">
        <f>IF(A31="","",COUNTIF('Project Data'!$E$3:$E$10000,A31))</f>
        <v/>
      </c>
      <c r="C31" t="str">
        <f t="shared" si="0"/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39997558519241921"/>
  </sheetPr>
  <dimension ref="A1:J55"/>
  <sheetViews>
    <sheetView showGridLines="0" zoomScale="90" zoomScaleNormal="90" workbookViewId="0">
      <selection activeCell="L17" sqref="L17"/>
    </sheetView>
  </sheetViews>
  <sheetFormatPr defaultColWidth="8.6328125" defaultRowHeight="14.5"/>
  <cols>
    <col min="1" max="1" width="24" customWidth="1"/>
    <col min="2" max="3" width="10" customWidth="1"/>
    <col min="4" max="4" width="22" customWidth="1"/>
    <col min="5" max="5" width="2" customWidth="1"/>
    <col min="6" max="6" width="14" customWidth="1"/>
    <col min="7" max="10" width="10" customWidth="1"/>
  </cols>
  <sheetData>
    <row r="1" spans="1:10" ht="39.75" customHeight="1">
      <c r="A1" s="8" t="e" vm="1">
        <v>#VALUE!</v>
      </c>
      <c r="B1" s="8"/>
      <c r="C1" s="8"/>
      <c r="D1" s="8"/>
      <c r="E1" s="8"/>
      <c r="F1" s="8"/>
      <c r="G1" s="8"/>
      <c r="H1" s="8"/>
      <c r="I1" s="8"/>
      <c r="J1" s="8"/>
    </row>
    <row r="2" spans="1:10" ht="21.75" customHeight="1">
      <c r="A2" s="36" t="s">
        <v>18</v>
      </c>
      <c r="B2" s="36"/>
      <c r="C2" s="36"/>
      <c r="D2" s="36"/>
      <c r="E2" s="36"/>
      <c r="F2" s="36"/>
      <c r="G2" s="36"/>
      <c r="H2" s="36"/>
      <c r="I2" s="36"/>
      <c r="J2" s="36"/>
    </row>
    <row r="3" spans="1:10" ht="3" customHeight="1">
      <c r="A3" s="31"/>
      <c r="B3" s="31"/>
      <c r="C3" s="31"/>
      <c r="D3" s="31"/>
      <c r="E3" s="31"/>
      <c r="F3" s="31"/>
      <c r="G3" s="31"/>
      <c r="H3" s="31"/>
      <c r="I3" s="31"/>
      <c r="J3" s="31"/>
    </row>
    <row r="4" spans="1:10" ht="7.5" customHeight="1"/>
    <row r="5" spans="1:10" ht="18" customHeight="1">
      <c r="A5" s="35" t="s">
        <v>19</v>
      </c>
      <c r="B5" s="35"/>
      <c r="C5" s="35" t="s">
        <v>20</v>
      </c>
      <c r="D5" s="35"/>
      <c r="E5" s="35" t="s">
        <v>21</v>
      </c>
      <c r="F5" s="35"/>
      <c r="G5" s="35" t="s">
        <v>22</v>
      </c>
      <c r="H5" s="35"/>
      <c r="I5" s="35" t="s">
        <v>23</v>
      </c>
      <c r="J5" s="35"/>
    </row>
    <row r="6" spans="1:10" ht="21.75" customHeight="1">
      <c r="A6" s="7">
        <f>COUNTA('Project Data'!$A$3:$A$10000)-COUNTBLANK('Project Data'!$A$3:$A$10000)</f>
        <v>-9996</v>
      </c>
      <c r="B6" s="7"/>
      <c r="C6" s="7">
        <f>COUNTIF(_Pivot!A2:A31,"?*")</f>
        <v>0</v>
      </c>
      <c r="D6" s="7"/>
      <c r="E6" s="7">
        <f>COUNTIF('Project Data'!$E$3:$E$10000,"Interview")</f>
        <v>0</v>
      </c>
      <c r="F6" s="7"/>
      <c r="G6" s="7">
        <f>COUNTIF('Project Data'!$E$3:$E$10000,"Offer")</f>
        <v>0</v>
      </c>
      <c r="H6" s="7"/>
      <c r="I6" s="7">
        <f>COUNTIF('Project Data'!$E$3:$E$10000,"Placed")</f>
        <v>0</v>
      </c>
      <c r="J6" s="7"/>
    </row>
    <row r="7" spans="1:10">
      <c r="A7" s="7"/>
      <c r="B7" s="7"/>
      <c r="C7" s="7"/>
      <c r="D7" s="7"/>
      <c r="E7" s="7"/>
      <c r="F7" s="7"/>
      <c r="G7" s="7"/>
      <c r="H7" s="7"/>
      <c r="I7" s="7"/>
      <c r="J7" s="7"/>
    </row>
    <row r="8" spans="1:10">
      <c r="A8" s="7"/>
      <c r="B8" s="7"/>
      <c r="C8" s="7"/>
      <c r="D8" s="7"/>
      <c r="E8" s="7"/>
      <c r="F8" s="7"/>
      <c r="G8" s="7"/>
      <c r="H8" s="7"/>
      <c r="I8" s="7"/>
      <c r="J8" s="7"/>
    </row>
    <row r="9" spans="1:10" ht="3.75" customHeight="1">
      <c r="A9" s="32"/>
      <c r="B9" s="32"/>
      <c r="C9" s="32"/>
      <c r="D9" s="32"/>
      <c r="E9" s="32"/>
      <c r="F9" s="32"/>
      <c r="G9" s="32"/>
      <c r="H9" s="32"/>
      <c r="I9" s="32"/>
      <c r="J9" s="32"/>
    </row>
    <row r="10" spans="1:10" ht="9.75" customHeight="1"/>
    <row r="11" spans="1:10" ht="19.5" customHeight="1">
      <c r="A11" s="33" t="s">
        <v>24</v>
      </c>
      <c r="B11" s="33"/>
      <c r="C11" s="33"/>
      <c r="D11" s="33"/>
      <c r="F11" s="33" t="s">
        <v>25</v>
      </c>
      <c r="G11" s="33"/>
      <c r="H11" s="33"/>
      <c r="I11" s="33"/>
      <c r="J11" s="33"/>
    </row>
    <row r="12" spans="1:10" ht="19.5" customHeight="1">
      <c r="A12" s="13" t="s">
        <v>11</v>
      </c>
      <c r="B12" s="14" t="s">
        <v>26</v>
      </c>
      <c r="C12" s="14" t="s">
        <v>27</v>
      </c>
      <c r="D12" s="14" t="s">
        <v>28</v>
      </c>
      <c r="F12" s="6" t="s">
        <v>29</v>
      </c>
      <c r="G12" s="6"/>
      <c r="H12" s="5" t="s">
        <v>30</v>
      </c>
      <c r="I12" s="5"/>
      <c r="J12" s="5"/>
    </row>
    <row r="13" spans="1:10" ht="19.5" customHeight="1">
      <c r="A13" s="15" t="str">
        <f>IF(_Pivot!A2="","",_Pivot!A2)</f>
        <v/>
      </c>
      <c r="B13" s="16" t="str">
        <f>IF(A13="","",_Pivot!B2)</f>
        <v/>
      </c>
      <c r="C13" s="17" t="str">
        <f>IF(A13="","",_Pivot!C2)</f>
        <v/>
      </c>
      <c r="D13" s="18" t="str">
        <f t="shared" ref="D13:D42" si="0">IF(A13="","",IFERROR(REPT("█",ROUND(C13*25,0)),""))</f>
        <v/>
      </c>
      <c r="F13" s="6" t="s">
        <v>31</v>
      </c>
      <c r="G13" s="6"/>
      <c r="H13" s="5" t="s">
        <v>32</v>
      </c>
      <c r="I13" s="5"/>
      <c r="J13" s="5"/>
    </row>
    <row r="14" spans="1:10" ht="19.5" customHeight="1">
      <c r="A14" s="19" t="str">
        <f>IF(_Pivot!A3="","",_Pivot!A3)</f>
        <v/>
      </c>
      <c r="B14" s="20" t="str">
        <f>IF(A14="","",_Pivot!B3)</f>
        <v/>
      </c>
      <c r="C14" s="21" t="str">
        <f>IF(A14="","",_Pivot!C3)</f>
        <v/>
      </c>
      <c r="D14" s="22" t="str">
        <f t="shared" si="0"/>
        <v/>
      </c>
      <c r="F14" s="6" t="s">
        <v>33</v>
      </c>
      <c r="G14" s="6"/>
      <c r="H14" s="5" t="s">
        <v>34</v>
      </c>
      <c r="I14" s="5"/>
      <c r="J14" s="5"/>
    </row>
    <row r="15" spans="1:10" ht="19.5" customHeight="1">
      <c r="A15" s="15" t="str">
        <f>IF(_Pivot!A4="","",_Pivot!A4)</f>
        <v/>
      </c>
      <c r="B15" s="16" t="str">
        <f>IF(A15="","",_Pivot!B4)</f>
        <v/>
      </c>
      <c r="C15" s="17" t="str">
        <f>IF(A15="","",_Pivot!C4)</f>
        <v/>
      </c>
      <c r="D15" s="18" t="str">
        <f t="shared" si="0"/>
        <v/>
      </c>
      <c r="F15" s="6" t="s">
        <v>35</v>
      </c>
      <c r="G15" s="6"/>
      <c r="H15" s="5" t="s">
        <v>36</v>
      </c>
      <c r="I15" s="5"/>
      <c r="J15" s="5"/>
    </row>
    <row r="16" spans="1:10" ht="19.5" customHeight="1">
      <c r="A16" s="19" t="str">
        <f>IF(_Pivot!A5="","",_Pivot!A5)</f>
        <v/>
      </c>
      <c r="B16" s="20" t="str">
        <f>IF(A16="","",_Pivot!B5)</f>
        <v/>
      </c>
      <c r="C16" s="21" t="str">
        <f>IF(A16="","",_Pivot!C5)</f>
        <v/>
      </c>
      <c r="D16" s="22" t="str">
        <f t="shared" si="0"/>
        <v/>
      </c>
      <c r="F16" s="6" t="s">
        <v>37</v>
      </c>
      <c r="G16" s="6"/>
      <c r="H16" s="5" t="s">
        <v>38</v>
      </c>
      <c r="I16" s="5"/>
      <c r="J16" s="5"/>
    </row>
    <row r="17" spans="1:10" ht="19.5" customHeight="1">
      <c r="A17" s="15" t="str">
        <f>IF(_Pivot!A6="","",_Pivot!A6)</f>
        <v/>
      </c>
      <c r="B17" s="16" t="str">
        <f>IF(A17="","",_Pivot!B6)</f>
        <v/>
      </c>
      <c r="C17" s="17" t="str">
        <f>IF(A17="","",_Pivot!C6)</f>
        <v/>
      </c>
      <c r="D17" s="18" t="str">
        <f t="shared" si="0"/>
        <v/>
      </c>
      <c r="F17" s="6" t="s">
        <v>39</v>
      </c>
      <c r="G17" s="6"/>
      <c r="H17" s="5" t="s">
        <v>40</v>
      </c>
      <c r="I17" s="5"/>
      <c r="J17" s="5"/>
    </row>
    <row r="18" spans="1:10" ht="19.5" customHeight="1">
      <c r="A18" s="19" t="str">
        <f>IF(_Pivot!A7="","",_Pivot!A7)</f>
        <v/>
      </c>
      <c r="B18" s="20" t="str">
        <f>IF(A18="","",_Pivot!B7)</f>
        <v/>
      </c>
      <c r="C18" s="21" t="str">
        <f>IF(A18="","",_Pivot!C7)</f>
        <v/>
      </c>
      <c r="D18" s="22" t="str">
        <f t="shared" si="0"/>
        <v/>
      </c>
      <c r="F18" s="6" t="s">
        <v>41</v>
      </c>
      <c r="G18" s="6"/>
      <c r="H18" s="5" t="s">
        <v>42</v>
      </c>
      <c r="I18" s="5"/>
      <c r="J18" s="5"/>
    </row>
    <row r="19" spans="1:10" ht="19.5" customHeight="1">
      <c r="A19" s="15" t="str">
        <f>IF(_Pivot!A8="","",_Pivot!A8)</f>
        <v/>
      </c>
      <c r="B19" s="16" t="str">
        <f>IF(A19="","",_Pivot!B8)</f>
        <v/>
      </c>
      <c r="C19" s="17" t="str">
        <f>IF(A19="","",_Pivot!C8)</f>
        <v/>
      </c>
      <c r="D19" s="18" t="str">
        <f t="shared" si="0"/>
        <v/>
      </c>
      <c r="F19" s="6" t="s">
        <v>43</v>
      </c>
      <c r="G19" s="6"/>
      <c r="H19" s="5" t="s">
        <v>44</v>
      </c>
      <c r="I19" s="5"/>
      <c r="J19" s="5"/>
    </row>
    <row r="20" spans="1:10" ht="19.5" customHeight="1">
      <c r="A20" s="19" t="str">
        <f>IF(_Pivot!A9="","",_Pivot!A9)</f>
        <v/>
      </c>
      <c r="B20" s="20" t="str">
        <f>IF(A20="","",_Pivot!B9)</f>
        <v/>
      </c>
      <c r="C20" s="21" t="str">
        <f>IF(A20="","",_Pivot!C9)</f>
        <v/>
      </c>
      <c r="D20" s="22" t="str">
        <f t="shared" si="0"/>
        <v/>
      </c>
      <c r="F20" s="6" t="s">
        <v>45</v>
      </c>
      <c r="G20" s="6"/>
      <c r="H20" s="5" t="s">
        <v>46</v>
      </c>
      <c r="I20" s="5"/>
      <c r="J20" s="5"/>
    </row>
    <row r="21" spans="1:10" ht="19.5" customHeight="1">
      <c r="A21" s="15" t="str">
        <f>IF(_Pivot!A10="","",_Pivot!A10)</f>
        <v/>
      </c>
      <c r="B21" s="16" t="str">
        <f>IF(A21="","",_Pivot!B10)</f>
        <v/>
      </c>
      <c r="C21" s="17" t="str">
        <f>IF(A21="","",_Pivot!C10)</f>
        <v/>
      </c>
      <c r="D21" s="18" t="str">
        <f t="shared" si="0"/>
        <v/>
      </c>
      <c r="F21" s="6" t="s">
        <v>47</v>
      </c>
      <c r="G21" s="6"/>
      <c r="H21" s="5" t="s">
        <v>48</v>
      </c>
      <c r="I21" s="5"/>
      <c r="J21" s="5"/>
    </row>
    <row r="22" spans="1:10" ht="18" customHeight="1">
      <c r="A22" s="19" t="str">
        <f>IF(_Pivot!A11="","",_Pivot!A11)</f>
        <v/>
      </c>
      <c r="B22" s="20" t="str">
        <f>IF(A22="","",_Pivot!B11)</f>
        <v/>
      </c>
      <c r="C22" s="21" t="str">
        <f>IF(A22="","",_Pivot!C11)</f>
        <v/>
      </c>
      <c r="D22" s="22" t="str">
        <f t="shared" si="0"/>
        <v/>
      </c>
    </row>
    <row r="23" spans="1:10" ht="18" customHeight="1">
      <c r="A23" s="15" t="str">
        <f>IF(_Pivot!A12="","",_Pivot!A12)</f>
        <v/>
      </c>
      <c r="B23" s="16" t="str">
        <f>IF(A23="","",_Pivot!B12)</f>
        <v/>
      </c>
      <c r="C23" s="17" t="str">
        <f>IF(A23="","",_Pivot!C12)</f>
        <v/>
      </c>
      <c r="D23" s="18" t="str">
        <f t="shared" si="0"/>
        <v/>
      </c>
    </row>
    <row r="24" spans="1:10" ht="18" customHeight="1">
      <c r="A24" s="19" t="str">
        <f>IF(_Pivot!A13="","",_Pivot!A13)</f>
        <v/>
      </c>
      <c r="B24" s="20" t="str">
        <f>IF(A24="","",_Pivot!B13)</f>
        <v/>
      </c>
      <c r="C24" s="21" t="str">
        <f>IF(A24="","",_Pivot!C13)</f>
        <v/>
      </c>
      <c r="D24" s="22" t="str">
        <f t="shared" si="0"/>
        <v/>
      </c>
    </row>
    <row r="25" spans="1:10" ht="18" customHeight="1">
      <c r="A25" s="15" t="str">
        <f>IF(_Pivot!A14="","",_Pivot!A14)</f>
        <v/>
      </c>
      <c r="B25" s="16" t="str">
        <f>IF(A25="","",_Pivot!B14)</f>
        <v/>
      </c>
      <c r="C25" s="17" t="str">
        <f>IF(A25="","",_Pivot!C14)</f>
        <v/>
      </c>
      <c r="D25" s="18" t="str">
        <f t="shared" si="0"/>
        <v/>
      </c>
    </row>
    <row r="26" spans="1:10" ht="19.5" customHeight="1">
      <c r="A26" s="19" t="str">
        <f>IF(_Pivot!A15="","",_Pivot!A15)</f>
        <v/>
      </c>
      <c r="B26" s="20" t="str">
        <f>IF(A26="","",_Pivot!B15)</f>
        <v/>
      </c>
      <c r="C26" s="21" t="str">
        <f>IF(A26="","",_Pivot!C15)</f>
        <v/>
      </c>
      <c r="D26" s="22" t="str">
        <f t="shared" si="0"/>
        <v/>
      </c>
      <c r="F26" s="33" t="s">
        <v>49</v>
      </c>
      <c r="G26" s="33"/>
      <c r="H26" s="33"/>
      <c r="I26" s="33"/>
      <c r="J26" s="33"/>
    </row>
    <row r="27" spans="1:10" ht="19.5" customHeight="1">
      <c r="A27" s="15" t="str">
        <f>IF(_Pivot!A16="","",_Pivot!A16)</f>
        <v/>
      </c>
      <c r="B27" s="16" t="str">
        <f>IF(A27="","",_Pivot!B16)</f>
        <v/>
      </c>
      <c r="C27" s="17" t="str">
        <f>IF(A27="","",_Pivot!C16)</f>
        <v/>
      </c>
      <c r="D27" s="18" t="str">
        <f t="shared" si="0"/>
        <v/>
      </c>
      <c r="F27" s="14" t="s">
        <v>10</v>
      </c>
      <c r="G27" s="14"/>
      <c r="H27" s="14"/>
      <c r="I27" s="14" t="s">
        <v>26</v>
      </c>
      <c r="J27" s="14" t="s">
        <v>50</v>
      </c>
    </row>
    <row r="28" spans="1:10" ht="18" customHeight="1">
      <c r="A28" s="19" t="str">
        <f>IF(_Pivot!A17="","",_Pivot!A17)</f>
        <v/>
      </c>
      <c r="B28" s="20" t="str">
        <f>IF(A28="","",_Pivot!B17)</f>
        <v/>
      </c>
      <c r="C28" s="21" t="str">
        <f>IF(A28="","",_Pivot!C17)</f>
        <v/>
      </c>
      <c r="D28" s="22" t="str">
        <f t="shared" si="0"/>
        <v/>
      </c>
      <c r="F28" s="4" t="s">
        <v>51</v>
      </c>
      <c r="G28" s="4"/>
      <c r="H28" s="4"/>
      <c r="I28" s="16">
        <f>IF(F28="","",COUNTIF('Project Data'!$D$3:$D$10000,F28))</f>
        <v>0</v>
      </c>
      <c r="J28" s="17" t="str">
        <f>IFERROR(I28/SUM(I28:I35),"")</f>
        <v/>
      </c>
    </row>
    <row r="29" spans="1:10" ht="18" customHeight="1">
      <c r="A29" s="15" t="str">
        <f>IF(_Pivot!A18="","",_Pivot!A18)</f>
        <v/>
      </c>
      <c r="B29" s="16" t="str">
        <f>IF(A29="","",_Pivot!B18)</f>
        <v/>
      </c>
      <c r="C29" s="17" t="str">
        <f>IF(A29="","",_Pivot!C18)</f>
        <v/>
      </c>
      <c r="D29" s="18" t="str">
        <f t="shared" si="0"/>
        <v/>
      </c>
      <c r="F29" s="3" t="s">
        <v>52</v>
      </c>
      <c r="G29" s="3"/>
      <c r="H29" s="3"/>
      <c r="I29" s="20">
        <f>IF(F29="","",COUNTIF('Project Data'!$D$3:$D$10000,F29))</f>
        <v>0</v>
      </c>
      <c r="J29" s="21" t="str">
        <f>IFERROR(I29/SUM(I28:I35),"")</f>
        <v/>
      </c>
    </row>
    <row r="30" spans="1:10" ht="18" customHeight="1">
      <c r="A30" s="19" t="str">
        <f>IF(_Pivot!A19="","",_Pivot!A19)</f>
        <v/>
      </c>
      <c r="B30" s="20" t="str">
        <f>IF(A30="","",_Pivot!B19)</f>
        <v/>
      </c>
      <c r="C30" s="21" t="str">
        <f>IF(A30="","",_Pivot!C19)</f>
        <v/>
      </c>
      <c r="D30" s="22" t="str">
        <f t="shared" si="0"/>
        <v/>
      </c>
      <c r="F30" s="4" t="s">
        <v>53</v>
      </c>
      <c r="G30" s="4"/>
      <c r="H30" s="4"/>
      <c r="I30" s="16">
        <f>IF(F30="","",COUNTIF('Project Data'!$D$3:$D$10000,F30))</f>
        <v>0</v>
      </c>
      <c r="J30" s="17" t="str">
        <f>IFERROR(I30/SUM(I28:I35),"")</f>
        <v/>
      </c>
    </row>
    <row r="31" spans="1:10" ht="18" customHeight="1">
      <c r="A31" s="15" t="str">
        <f>IF(_Pivot!A20="","",_Pivot!A20)</f>
        <v/>
      </c>
      <c r="B31" s="16" t="str">
        <f>IF(A31="","",_Pivot!B20)</f>
        <v/>
      </c>
      <c r="C31" s="17" t="str">
        <f>IF(A31="","",_Pivot!C20)</f>
        <v/>
      </c>
      <c r="D31" s="18" t="str">
        <f t="shared" si="0"/>
        <v/>
      </c>
      <c r="F31" s="3" t="s">
        <v>54</v>
      </c>
      <c r="G31" s="3"/>
      <c r="H31" s="3"/>
      <c r="I31" s="20">
        <f>IF(F31="","",COUNTIF('Project Data'!$D$3:$D$10000,F31))</f>
        <v>0</v>
      </c>
      <c r="J31" s="21" t="str">
        <f>IFERROR(I31/SUM(I28:I35),"")</f>
        <v/>
      </c>
    </row>
    <row r="32" spans="1:10" ht="18" customHeight="1">
      <c r="A32" s="19" t="str">
        <f>IF(_Pivot!A21="","",_Pivot!A21)</f>
        <v/>
      </c>
      <c r="B32" s="20" t="str">
        <f>IF(A32="","",_Pivot!B21)</f>
        <v/>
      </c>
      <c r="C32" s="21" t="str">
        <f>IF(A32="","",_Pivot!C21)</f>
        <v/>
      </c>
      <c r="D32" s="22" t="str">
        <f t="shared" si="0"/>
        <v/>
      </c>
      <c r="F32" s="4" t="s">
        <v>55</v>
      </c>
      <c r="G32" s="4"/>
      <c r="H32" s="4"/>
      <c r="I32" s="16">
        <f>IF(F32="","",COUNTIF('Project Data'!$D$3:$D$10000,F32))</f>
        <v>0</v>
      </c>
      <c r="J32" s="17" t="str">
        <f>IFERROR(I32/SUM(I28:I35),"")</f>
        <v/>
      </c>
    </row>
    <row r="33" spans="1:10" ht="18" customHeight="1">
      <c r="A33" s="15" t="str">
        <f>IF(_Pivot!A22="","",_Pivot!A22)</f>
        <v/>
      </c>
      <c r="B33" s="16" t="str">
        <f>IF(A33="","",_Pivot!B22)</f>
        <v/>
      </c>
      <c r="C33" s="17" t="str">
        <f>IF(A33="","",_Pivot!C22)</f>
        <v/>
      </c>
      <c r="D33" s="18" t="str">
        <f t="shared" si="0"/>
        <v/>
      </c>
      <c r="F33" s="3" t="s">
        <v>56</v>
      </c>
      <c r="G33" s="3"/>
      <c r="H33" s="3"/>
      <c r="I33" s="20">
        <f>IF(F33="","",COUNTIF('Project Data'!$D$3:$D$10000,F33))</f>
        <v>0</v>
      </c>
      <c r="J33" s="21" t="str">
        <f>IFERROR(I33/SUM(I28:I35),"")</f>
        <v/>
      </c>
    </row>
    <row r="34" spans="1:10" ht="18" customHeight="1">
      <c r="A34" s="19" t="str">
        <f>IF(_Pivot!A23="","",_Pivot!A23)</f>
        <v/>
      </c>
      <c r="B34" s="20" t="str">
        <f>IF(A34="","",_Pivot!B23)</f>
        <v/>
      </c>
      <c r="C34" s="21" t="str">
        <f>IF(A34="","",_Pivot!C23)</f>
        <v/>
      </c>
      <c r="D34" s="22" t="str">
        <f t="shared" si="0"/>
        <v/>
      </c>
      <c r="F34" s="4" t="s">
        <v>57</v>
      </c>
      <c r="G34" s="4"/>
      <c r="H34" s="4"/>
      <c r="I34" s="16">
        <f>IF(F34="","",COUNTIF('Project Data'!$D$3:$D$10000,F34))</f>
        <v>0</v>
      </c>
      <c r="J34" s="17" t="str">
        <f>IFERROR(I34/SUM(I28:I35),"")</f>
        <v/>
      </c>
    </row>
    <row r="35" spans="1:10" ht="18" customHeight="1">
      <c r="A35" s="15" t="str">
        <f>IF(_Pivot!A24="","",_Pivot!A24)</f>
        <v/>
      </c>
      <c r="B35" s="16" t="str">
        <f>IF(A35="","",_Pivot!B24)</f>
        <v/>
      </c>
      <c r="C35" s="17" t="str">
        <f>IF(A35="","",_Pivot!C24)</f>
        <v/>
      </c>
      <c r="D35" s="18" t="str">
        <f t="shared" si="0"/>
        <v/>
      </c>
      <c r="F35" s="3" t="s">
        <v>58</v>
      </c>
      <c r="G35" s="3"/>
      <c r="H35" s="3"/>
      <c r="I35" s="20">
        <f>IF(F35="","",COUNTIF('Project Data'!$D$3:$D$10000,F35))</f>
        <v>0</v>
      </c>
      <c r="J35" s="21" t="str">
        <f>IFERROR(I35/SUM(I28:I35),"")</f>
        <v/>
      </c>
    </row>
    <row r="36" spans="1:10" ht="18" customHeight="1">
      <c r="A36" s="19" t="str">
        <f>IF(_Pivot!A25="","",_Pivot!A25)</f>
        <v/>
      </c>
      <c r="B36" s="20" t="str">
        <f>IF(A36="","",_Pivot!B25)</f>
        <v/>
      </c>
      <c r="C36" s="21" t="str">
        <f>IF(A36="","",_Pivot!C25)</f>
        <v/>
      </c>
      <c r="D36" s="22" t="str">
        <f t="shared" si="0"/>
        <v/>
      </c>
    </row>
    <row r="37" spans="1:10" ht="18" customHeight="1">
      <c r="A37" s="15" t="str">
        <f>IF(_Pivot!A26="","",_Pivot!A26)</f>
        <v/>
      </c>
      <c r="B37" s="16" t="str">
        <f>IF(A37="","",_Pivot!B26)</f>
        <v/>
      </c>
      <c r="C37" s="17" t="str">
        <f>IF(A37="","",_Pivot!C26)</f>
        <v/>
      </c>
      <c r="D37" s="18" t="str">
        <f t="shared" si="0"/>
        <v/>
      </c>
    </row>
    <row r="38" spans="1:10" ht="18" customHeight="1">
      <c r="A38" s="19" t="str">
        <f>IF(_Pivot!A27="","",_Pivot!A27)</f>
        <v/>
      </c>
      <c r="B38" s="20" t="str">
        <f>IF(A38="","",_Pivot!B27)</f>
        <v/>
      </c>
      <c r="C38" s="21" t="str">
        <f>IF(A38="","",_Pivot!C27)</f>
        <v/>
      </c>
      <c r="D38" s="22" t="str">
        <f t="shared" si="0"/>
        <v/>
      </c>
    </row>
    <row r="39" spans="1:10" ht="18" customHeight="1">
      <c r="A39" s="15" t="str">
        <f>IF(_Pivot!A28="","",_Pivot!A28)</f>
        <v/>
      </c>
      <c r="B39" s="16" t="str">
        <f>IF(A39="","",_Pivot!B28)</f>
        <v/>
      </c>
      <c r="C39" s="17" t="str">
        <f>IF(A39="","",_Pivot!C28)</f>
        <v/>
      </c>
      <c r="D39" s="18" t="str">
        <f t="shared" si="0"/>
        <v/>
      </c>
    </row>
    <row r="40" spans="1:10" ht="18" customHeight="1">
      <c r="A40" s="19" t="str">
        <f>IF(_Pivot!A29="","",_Pivot!A29)</f>
        <v/>
      </c>
      <c r="B40" s="20" t="str">
        <f>IF(A40="","",_Pivot!B29)</f>
        <v/>
      </c>
      <c r="C40" s="21" t="str">
        <f>IF(A40="","",_Pivot!C29)</f>
        <v/>
      </c>
      <c r="D40" s="22" t="str">
        <f t="shared" si="0"/>
        <v/>
      </c>
    </row>
    <row r="41" spans="1:10" ht="18" customHeight="1">
      <c r="A41" s="15" t="str">
        <f>IF(_Pivot!A30="","",_Pivot!A30)</f>
        <v/>
      </c>
      <c r="B41" s="16" t="str">
        <f>IF(A41="","",_Pivot!B30)</f>
        <v/>
      </c>
      <c r="C41" s="17" t="str">
        <f>IF(A41="","",_Pivot!C30)</f>
        <v/>
      </c>
      <c r="D41" s="18" t="str">
        <f t="shared" si="0"/>
        <v/>
      </c>
    </row>
    <row r="42" spans="1:10" ht="18" customHeight="1">
      <c r="A42" s="19" t="str">
        <f>IF(_Pivot!A31="","",_Pivot!A31)</f>
        <v/>
      </c>
      <c r="B42" s="20" t="str">
        <f>IF(A42="","",_Pivot!B31)</f>
        <v/>
      </c>
      <c r="C42" s="21" t="str">
        <f>IF(A42="","",_Pivot!C31)</f>
        <v/>
      </c>
      <c r="D42" s="22" t="str">
        <f t="shared" si="0"/>
        <v/>
      </c>
    </row>
    <row r="43" spans="1:10" ht="19.5" customHeight="1">
      <c r="A43" s="23" t="s">
        <v>59</v>
      </c>
      <c r="B43" s="24">
        <f>COUNTA('Project Data'!$A$3:$A$10000)-COUNTBLANK('Project Data'!$A$3:$A$10000)</f>
        <v>-9996</v>
      </c>
      <c r="C43" s="25">
        <f>IFERROR(SUM(C13:C42),"")</f>
        <v>0</v>
      </c>
      <c r="D43" s="26"/>
    </row>
    <row r="44" spans="1:10" ht="9.75" customHeight="1"/>
    <row r="45" spans="1:10" ht="19.5" customHeight="1">
      <c r="A45" s="33" t="s">
        <v>60</v>
      </c>
      <c r="B45" s="33"/>
      <c r="C45" s="33"/>
      <c r="D45" s="33"/>
    </row>
    <row r="46" spans="1:10" ht="19.5" customHeight="1">
      <c r="A46" s="13" t="s">
        <v>12</v>
      </c>
      <c r="B46" s="14" t="s">
        <v>26</v>
      </c>
      <c r="C46" s="14" t="s">
        <v>50</v>
      </c>
      <c r="D46" s="14" t="s">
        <v>61</v>
      </c>
    </row>
    <row r="47" spans="1:10" ht="18" customHeight="1">
      <c r="A47" s="15" t="s">
        <v>62</v>
      </c>
      <c r="B47" s="16">
        <f>COUNTIF('Project Data'!$F$3:$F$10000,A47)</f>
        <v>0</v>
      </c>
      <c r="C47" s="17">
        <f>IFERROR(B47/SUM(B47:B50),0)</f>
        <v>0</v>
      </c>
      <c r="D47" s="18" t="str">
        <f>IFERROR(REPT("█",ROUND(C47*20,0)),"")</f>
        <v/>
      </c>
    </row>
    <row r="48" spans="1:10" ht="18" customHeight="1">
      <c r="A48" s="19" t="s">
        <v>63</v>
      </c>
      <c r="B48" s="20">
        <f>COUNTIF('Project Data'!$F$3:$F$10000,A48)</f>
        <v>0</v>
      </c>
      <c r="C48" s="21">
        <f>IFERROR(B48/SUM(B47:B50),0)</f>
        <v>0</v>
      </c>
      <c r="D48" s="22" t="str">
        <f>IFERROR(REPT("█",ROUND(C48*20,0)),"")</f>
        <v/>
      </c>
    </row>
    <row r="49" spans="1:10" ht="18" customHeight="1">
      <c r="A49" s="15" t="s">
        <v>64</v>
      </c>
      <c r="B49" s="16">
        <f>COUNTIF('Project Data'!$F$3:$F$10000,A49)</f>
        <v>0</v>
      </c>
      <c r="C49" s="17">
        <f>IFERROR(B49/SUM(B47:B50),0)</f>
        <v>0</v>
      </c>
      <c r="D49" s="18" t="str">
        <f>IFERROR(REPT("█",ROUND(C49*20,0)),"")</f>
        <v/>
      </c>
    </row>
    <row r="50" spans="1:10" ht="18" customHeight="1">
      <c r="A50" s="19" t="s">
        <v>65</v>
      </c>
      <c r="B50" s="20">
        <f>COUNTIF('Project Data'!$F$3:$F$10000,A50)</f>
        <v>0</v>
      </c>
      <c r="C50" s="21">
        <f>IFERROR(B50/SUM(B47:B50),0)</f>
        <v>0</v>
      </c>
      <c r="D50" s="22" t="str">
        <f>IFERROR(REPT("█",ROUND(C50*20,0)),"")</f>
        <v/>
      </c>
    </row>
    <row r="51" spans="1:10" ht="9.75" customHeight="1"/>
    <row r="54" spans="1:10" ht="3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</row>
    <row r="55" spans="1:10" ht="18" customHeight="1">
      <c r="A55" s="2" t="s">
        <v>66</v>
      </c>
      <c r="B55" s="2"/>
      <c r="C55" s="2"/>
      <c r="D55" s="2"/>
      <c r="E55" s="2"/>
      <c r="F55" s="2"/>
      <c r="G55" s="2"/>
      <c r="H55" s="2"/>
      <c r="I55" s="2"/>
      <c r="J55" s="2"/>
    </row>
  </sheetData>
  <mergeCells count="52">
    <mergeCell ref="A55:J55"/>
    <mergeCell ref="F33:H33"/>
    <mergeCell ref="F34:H34"/>
    <mergeCell ref="F35:H35"/>
    <mergeCell ref="A45:D45"/>
    <mergeCell ref="A54:J54"/>
    <mergeCell ref="F28:H28"/>
    <mergeCell ref="F29:H29"/>
    <mergeCell ref="F30:H30"/>
    <mergeCell ref="F31:H31"/>
    <mergeCell ref="F32:H32"/>
    <mergeCell ref="F20:G20"/>
    <mergeCell ref="H20:J20"/>
    <mergeCell ref="F21:G21"/>
    <mergeCell ref="H21:J21"/>
    <mergeCell ref="F26:J26"/>
    <mergeCell ref="F17:G17"/>
    <mergeCell ref="H17:J17"/>
    <mergeCell ref="F18:G18"/>
    <mergeCell ref="H18:J18"/>
    <mergeCell ref="F19:G19"/>
    <mergeCell ref="H19:J19"/>
    <mergeCell ref="F14:G14"/>
    <mergeCell ref="H14:J14"/>
    <mergeCell ref="F15:G15"/>
    <mergeCell ref="H15:J15"/>
    <mergeCell ref="F16:G16"/>
    <mergeCell ref="H16:J16"/>
    <mergeCell ref="A11:D11"/>
    <mergeCell ref="F11:J11"/>
    <mergeCell ref="F12:G12"/>
    <mergeCell ref="H12:J12"/>
    <mergeCell ref="F13:G13"/>
    <mergeCell ref="H13:J13"/>
    <mergeCell ref="A9:B9"/>
    <mergeCell ref="C9:D9"/>
    <mergeCell ref="E9:F9"/>
    <mergeCell ref="G9:H9"/>
    <mergeCell ref="I9:J9"/>
    <mergeCell ref="A6:B8"/>
    <mergeCell ref="C6:D8"/>
    <mergeCell ref="E6:F8"/>
    <mergeCell ref="G6:H8"/>
    <mergeCell ref="I6:J8"/>
    <mergeCell ref="A1:J1"/>
    <mergeCell ref="A2:J2"/>
    <mergeCell ref="A3:J3"/>
    <mergeCell ref="A5:B5"/>
    <mergeCell ref="C5:D5"/>
    <mergeCell ref="E5:F5"/>
    <mergeCell ref="G5:H5"/>
    <mergeCell ref="I5:J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showGridLines="0" zoomScaleNormal="100" workbookViewId="0"/>
  </sheetViews>
  <sheetFormatPr defaultColWidth="8.6328125" defaultRowHeight="14.5"/>
  <cols>
    <col min="1" max="1" width="30" customWidth="1"/>
    <col min="2" max="2" width="72" customWidth="1"/>
  </cols>
  <sheetData>
    <row r="1" spans="1:6" ht="30" customHeight="1">
      <c r="A1" s="1" t="s">
        <v>67</v>
      </c>
      <c r="B1" s="1"/>
      <c r="C1" s="1"/>
      <c r="D1" s="1"/>
      <c r="E1" s="1"/>
      <c r="F1" s="1"/>
    </row>
    <row r="2" spans="1:6" ht="21.75" customHeight="1">
      <c r="A2" s="30" t="s">
        <v>68</v>
      </c>
      <c r="B2" s="30"/>
      <c r="C2" s="30"/>
      <c r="D2" s="30"/>
      <c r="E2" s="30"/>
      <c r="F2" s="30"/>
    </row>
    <row r="3" spans="1:6" ht="15.75" customHeight="1">
      <c r="A3" s="27" t="s">
        <v>69</v>
      </c>
      <c r="B3" s="28" t="s">
        <v>70</v>
      </c>
    </row>
    <row r="4" spans="1:6" ht="15.75" customHeight="1">
      <c r="A4" s="27" t="s">
        <v>71</v>
      </c>
      <c r="B4" s="28" t="s">
        <v>72</v>
      </c>
    </row>
    <row r="5" spans="1:6" ht="15.75" customHeight="1">
      <c r="A5" s="27" t="s">
        <v>73</v>
      </c>
      <c r="B5" s="28" t="s">
        <v>74</v>
      </c>
    </row>
    <row r="6" spans="1:6" ht="15.75" customHeight="1">
      <c r="A6" s="29"/>
      <c r="B6" s="28"/>
    </row>
    <row r="7" spans="1:6" ht="21.75" customHeight="1">
      <c r="A7" s="30" t="s">
        <v>75</v>
      </c>
      <c r="B7" s="30"/>
      <c r="C7" s="30"/>
      <c r="D7" s="30"/>
      <c r="E7" s="30"/>
      <c r="F7" s="30"/>
    </row>
    <row r="8" spans="1:6" ht="15.75" customHeight="1">
      <c r="A8" s="27" t="s">
        <v>76</v>
      </c>
      <c r="B8" s="28" t="s">
        <v>77</v>
      </c>
    </row>
    <row r="9" spans="1:6" ht="15.75" customHeight="1">
      <c r="A9" s="27" t="s">
        <v>78</v>
      </c>
      <c r="B9" s="28" t="s">
        <v>79</v>
      </c>
    </row>
    <row r="10" spans="1:6" ht="15.75" customHeight="1">
      <c r="A10" s="27" t="s">
        <v>80</v>
      </c>
      <c r="B10" s="28" t="s">
        <v>81</v>
      </c>
    </row>
    <row r="11" spans="1:6" ht="15.75" customHeight="1">
      <c r="A11" s="29"/>
      <c r="B11" s="28"/>
    </row>
    <row r="12" spans="1:6" ht="21.75" customHeight="1">
      <c r="A12" s="30" t="s">
        <v>82</v>
      </c>
      <c r="B12" s="30"/>
      <c r="C12" s="30"/>
      <c r="D12" s="30"/>
      <c r="E12" s="30"/>
      <c r="F12" s="30"/>
    </row>
    <row r="13" spans="1:6" ht="15.75" customHeight="1">
      <c r="A13" s="27" t="s">
        <v>83</v>
      </c>
      <c r="B13" s="28" t="s">
        <v>84</v>
      </c>
    </row>
    <row r="14" spans="1:6" ht="15.75" customHeight="1">
      <c r="A14" s="27" t="s">
        <v>85</v>
      </c>
      <c r="B14" s="28" t="s">
        <v>86</v>
      </c>
    </row>
  </sheetData>
  <mergeCells count="4">
    <mergeCell ref="A1:F1"/>
    <mergeCell ref="A2:F2"/>
    <mergeCell ref="A7:F7"/>
    <mergeCell ref="A12:F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Data</vt:lpstr>
      <vt:lpstr>_Pivot</vt:lpstr>
      <vt:lpstr>Dashboard</vt:lpstr>
      <vt:lpstr>Template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Amber Shamim</cp:lastModifiedBy>
  <cp:revision>0</cp:revision>
  <dcterms:created xsi:type="dcterms:W3CDTF">2026-05-21T22:40:52Z</dcterms:created>
  <dcterms:modified xsi:type="dcterms:W3CDTF">2026-05-22T06:40:23Z</dcterms:modified>
  <dc:language>en-US</dc:language>
</cp:coreProperties>
</file>