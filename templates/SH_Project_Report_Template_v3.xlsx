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<sst xmlns="http://schemas.openxmlformats.org/spreadsheetml/2006/main" count="93" uniqueCount="87">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</sst>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s="11" t="s">
        <v>14</v>
      </c>
    </row>
  </sheetData>
  <autoFilter ref="A2:G2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</f>
        <v>0</v>
      </c>
      <c r="B6" s="7"/>
      <c r="C6" s="7">
        <f>COUNTA(_Pivot!A2:A31)</f>
        <v>0</v>
      </c>
      <c r="D6" s="7"/>
      <c r="E6" s="7">
        <f>COUNTIF('Project Data'!$E$3:$E$10000,"*Interview*")</f>
        <v>0</v>
      </c>
      <c r="F6" s="7"/>
      <c r="G6" s="7">
        <f>COUNTIF('Project Data'!$E$3:$E$10000,"*Offer*")</f>
        <v>0</v>
      </c>
      <c r="H6" s="7"/>
      <c r="I6" s="7">
        <f>COUNTIF('Project Data'!$E$3:$E$10000,"*Placed*")</f>
        <v>0</v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 t="str">
        <f>IF(_Pivot!A2="","",_Pivot!A2)</f>
        <v/>
      </c>
      <c r="B13" s="16" t="str">
        <f>IF(A13="","",_Pivot!B2)</f>
        <v/>
      </c>
      <c r="C13" s="17" t="str">
        <f>IF(A13="","",_Pivot!C2)</f>
        <v/>
      </c>
      <c r="D13" s="18" t="str">
        <f t="shared" ref="D13:D42" si="0">IF(A13="","",IFERROR(REPT("█",ROUND(C13*25,0)),""))</f>
        <v/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 t="str">
        <f>IF(_Pivot!A3="","",_Pivot!A3)</f>
        <v/>
      </c>
      <c r="B14" s="20" t="str">
        <f>IF(A14="","",_Pivot!B3)</f>
        <v/>
      </c>
      <c r="C14" s="21" t="str">
        <f>IF(A14="","",_Pivot!C3)</f>
        <v/>
      </c>
      <c r="D14" s="22" t="str">
        <f t="shared" si="0"/>
        <v/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 t="str">
        <f>IF(_Pivot!A4="","",_Pivot!A4)</f>
        <v/>
      </c>
      <c r="B15" s="16" t="str">
        <f>IF(A15="","",_Pivot!B4)</f>
        <v/>
      </c>
      <c r="C15" s="17" t="str">
        <f>IF(A15="","",_Pivot!C4)</f>
        <v/>
      </c>
      <c r="D15" s="18" t="str">
        <f t="shared" si="0"/>
        <v/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 t="str">
        <f>IF(_Pivot!A5="","",_Pivot!A5)</f>
        <v/>
      </c>
      <c r="B16" s="20" t="str">
        <f>IF(A16="","",_Pivot!B5)</f>
        <v/>
      </c>
      <c r="C16" s="21" t="str">
        <f>IF(A16="","",_Pivot!C5)</f>
        <v/>
      </c>
      <c r="D16" s="22" t="str">
        <f t="shared" si="0"/>
        <v/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 t="str">
        <f>IF(_Pivot!A6="","",_Pivot!A6)</f>
        <v/>
      </c>
      <c r="B17" s="16" t="str">
        <f>IF(A17="","",_Pivot!B6)</f>
        <v/>
      </c>
      <c r="C17" s="17" t="str">
        <f>IF(A17="","",_Pivot!C6)</f>
        <v/>
      </c>
      <c r="D17" s="18" t="str">
        <f t="shared" si="0"/>
        <v/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 t="str">
        <f>IF(_Pivot!A7="","",_Pivot!A7)</f>
        <v/>
      </c>
      <c r="B18" s="20" t="str">
        <f>IF(A18="","",_Pivot!B7)</f>
        <v/>
      </c>
      <c r="C18" s="21" t="str">
        <f>IF(A18="","",_Pivot!C7)</f>
        <v/>
      </c>
      <c r="D18" s="22" t="str">
        <f t="shared" si="0"/>
        <v/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 t="str">
        <f>IF(_Pivot!A8="","",_Pivot!A8)</f>
        <v/>
      </c>
      <c r="B19" s="16" t="str">
        <f>IF(A19="","",_Pivot!B8)</f>
        <v/>
      </c>
      <c r="C19" s="17" t="str">
        <f>IF(A19="","",_Pivot!C8)</f>
        <v/>
      </c>
      <c r="D19" s="18" t="str">
        <f t="shared" si="0"/>
        <v/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 t="str">
        <f>IF(_Pivot!A9="","",_Pivot!A9)</f>
        <v/>
      </c>
      <c r="B20" s="20" t="str">
        <f>IF(A20="","",_Pivot!B9)</f>
        <v/>
      </c>
      <c r="C20" s="21" t="str">
        <f>IF(A20="","",_Pivot!C9)</f>
        <v/>
      </c>
      <c r="D20" s="22" t="str">
        <f t="shared" si="0"/>
        <v/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 t="str">
        <f>IF(_Pivot!A10="","",_Pivot!A10)</f>
        <v/>
      </c>
      <c r="B21" s="16" t="str">
        <f>IF(A21="","",_Pivot!B10)</f>
        <v/>
      </c>
      <c r="C21" s="17" t="str">
        <f>IF(A21="","",_Pivot!C10)</f>
        <v/>
      </c>
      <c r="D21" s="18" t="str">
        <f t="shared" si="0"/>
        <v/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 t="str">
        <f>IF(_Pivot!A11="","",_Pivot!A11)</f>
        <v/>
      </c>
      <c r="B22" s="20" t="str">
        <f>IF(A22="","",_Pivot!B11)</f>
        <v/>
      </c>
      <c r="C22" s="21" t="str">
        <f>IF(A22="","",_Pivot!C11)</f>
        <v/>
      </c>
      <c r="D22" s="22" t="str">
        <f t="shared" si="0"/>
        <v/>
      </c>
    </row>
    <row r="23" spans="1:10" ht="18" customHeight="1">
      <c r="A23" s="15" t="str">
        <f>IF(_Pivot!A12="","",_Pivot!A12)</f>
        <v/>
      </c>
      <c r="B23" s="16" t="str">
        <f>IF(A23="","",_Pivot!B12)</f>
        <v/>
      </c>
      <c r="C23" s="17" t="str">
        <f>IF(A23="","",_Pivot!C12)</f>
        <v/>
      </c>
      <c r="D23" s="18" t="str">
        <f t="shared" si="0"/>
        <v/>
      </c>
    </row>
    <row r="24" spans="1:10" ht="18" customHeight="1">
      <c r="A24" s="19" t="str">
        <f>IF(_Pivot!A13="","",_Pivot!A13)</f>
        <v/>
      </c>
      <c r="B24" s="20" t="str">
        <f>IF(A24="","",_Pivot!B13)</f>
        <v/>
      </c>
      <c r="C24" s="21" t="str">
        <f>IF(A24="","",_Pivot!C13)</f>
        <v/>
      </c>
      <c r="D24" s="22" t="str">
        <f t="shared" si="0"/>
        <v/>
      </c>
    </row>
    <row r="25" spans="1:10" ht="18" customHeight="1">
      <c r="A25" s="15" t="str">
        <f>IF(_Pivot!A14="","",_Pivot!A14)</f>
        <v/>
      </c>
      <c r="B25" s="16" t="str">
        <f>IF(A25="","",_Pivot!B14)</f>
        <v/>
      </c>
      <c r="C25" s="17" t="str">
        <f>IF(A25="","",_Pivot!C14)</f>
        <v/>
      </c>
      <c r="D25" s="18" t="str">
        <f t="shared" si="0"/>
        <v/>
      </c>
    </row>
    <row r="26" spans="1:10" ht="19.5" customHeight="1">
      <c r="A26" s="19" t="str">
        <f>IF(_Pivot!A15="","",_Pivot!A15)</f>
        <v/>
      </c>
      <c r="B26" s="20" t="str">
        <f>IF(A26="","",_Pivot!B15)</f>
        <v/>
      </c>
      <c r="C26" s="21" t="str">
        <f>IF(A26="","",_Pivot!C15)</f>
        <v/>
      </c>
      <c r="D26" s="22" t="str">
        <f t="shared" si="0"/>
        <v/>
      </c>
      <c r="F26" s="33" t="s">
        <v>49</v>
      </c>
      <c r="G26" s="33"/>
      <c r="H26" s="33"/>
      <c r="I26" s="33"/>
      <c r="J26" s="33"/>
    </row>
    <row r="27" spans="1:10" ht="19.5" customHeight="1">
      <c r="A27" s="15" t="str">
        <f>IF(_Pivot!A16="","",_Pivot!A16)</f>
        <v/>
      </c>
      <c r="B27" s="16" t="str">
        <f>IF(A27="","",_Pivot!B16)</f>
        <v/>
      </c>
      <c r="C27" s="17" t="str">
        <f>IF(A27="","",_Pivot!C16)</f>
        <v/>
      </c>
      <c r="D27" s="18" t="str">
        <f t="shared" si="0"/>
        <v/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 t="str">
        <f>IF(_Pivot!A17="","",_Pivot!A17)</f>
        <v/>
      </c>
      <c r="B28" s="20" t="str">
        <f>IF(A28="","",_Pivot!B17)</f>
        <v/>
      </c>
      <c r="C28" s="21" t="str">
        <f>IF(A28="","",_Pivot!C17)</f>
        <v/>
      </c>
      <c r="D28" s="22" t="str">
        <f t="shared" si="0"/>
        <v/>
      </c>
      <c r="F28" s="4" t="s">
        <v>51</v>
      </c>
      <c r="G28" s="4"/>
      <c r="H28" s="4"/>
      <c r="I28" s="16">
        <f>IF(F28="","",COUNTIF('Project Data'!$D$3:$D$10000,F28))</f>
        <v>0</v>
      </c>
      <c r="J28" s="17" t="str">
        <f>IFERROR(I28/SUM(I28:I35),"")</f>
        <v/>
      </c>
    </row>
    <row r="29" spans="1:10" ht="18" customHeight="1">
      <c r="A29" s="15" t="str">
        <f>IF(_Pivot!A18="","",_Pivot!A18)</f>
        <v/>
      </c>
      <c r="B29" s="16" t="str">
        <f>IF(A29="","",_Pivot!B18)</f>
        <v/>
      </c>
      <c r="C29" s="17" t="str">
        <f>IF(A29="","",_Pivot!C18)</f>
        <v/>
      </c>
      <c r="D29" s="18" t="str">
        <f t="shared" si="0"/>
        <v/>
      </c>
      <c r="F29" s="3" t="s">
        <v>52</v>
      </c>
      <c r="G29" s="3"/>
      <c r="H29" s="3"/>
      <c r="I29" s="20">
        <f>IF(F29="","",COUNTIF('Project Data'!$D$3:$D$10000,F29))</f>
        <v>0</v>
      </c>
      <c r="J29" s="21" t="str">
        <f>IFERROR(I29/SUM(I28:I35),"")</f>
        <v/>
      </c>
    </row>
    <row r="30" spans="1:10" ht="18" customHeight="1">
      <c r="A30" s="19" t="str">
        <f>IF(_Pivot!A19="","",_Pivot!A19)</f>
        <v/>
      </c>
      <c r="B30" s="20" t="str">
        <f>IF(A30="","",_Pivot!B19)</f>
        <v/>
      </c>
      <c r="C30" s="21" t="str">
        <f>IF(A30="","",_Pivot!C19)</f>
        <v/>
      </c>
      <c r="D30" s="22" t="str">
        <f t="shared" si="0"/>
        <v/>
      </c>
      <c r="F30" s="4" t="s">
        <v>53</v>
      </c>
      <c r="G30" s="4"/>
      <c r="H30" s="4"/>
      <c r="I30" s="16">
        <f>IF(F30="","",COUNTIF('Project Data'!$D$3:$D$10000,F30))</f>
        <v>0</v>
      </c>
      <c r="J30" s="17" t="str">
        <f>IFERROR(I30/SUM(I28:I35),"")</f>
        <v/>
      </c>
    </row>
    <row r="31" spans="1:10" ht="18" customHeight="1">
      <c r="A31" s="15" t="str">
        <f>IF(_Pivot!A20="","",_Pivot!A20)</f>
        <v/>
      </c>
      <c r="B31" s="16" t="str">
        <f>IF(A31="","",_Pivot!B20)</f>
        <v/>
      </c>
      <c r="C31" s="17" t="str">
        <f>IF(A31="","",_Pivot!C20)</f>
        <v/>
      </c>
      <c r="D31" s="18" t="str">
        <f t="shared" si="0"/>
        <v/>
      </c>
      <c r="F31" s="3" t="s">
        <v>54</v>
      </c>
      <c r="G31" s="3"/>
      <c r="H31" s="3"/>
      <c r="I31" s="20">
        <f>IF(F31="","",COUNTIF('Project Data'!$D$3:$D$10000,F31))</f>
        <v>0</v>
      </c>
      <c r="J31" s="21" t="str">
        <f>IFERROR(I31/SUM(I28:I35),"")</f>
        <v/>
      </c>
    </row>
    <row r="32" spans="1:10" ht="18" customHeight="1">
      <c r="A32" s="19" t="str">
        <f>IF(_Pivot!A21="","",_Pivot!A21)</f>
        <v/>
      </c>
      <c r="B32" s="20" t="str">
        <f>IF(A32="","",_Pivot!B21)</f>
        <v/>
      </c>
      <c r="C32" s="21" t="str">
        <f>IF(A32="","",_Pivot!C21)</f>
        <v/>
      </c>
      <c r="D32" s="22" t="str">
        <f t="shared" si="0"/>
        <v/>
      </c>
      <c r="F32" s="4" t="s">
        <v>55</v>
      </c>
      <c r="G32" s="4"/>
      <c r="H32" s="4"/>
      <c r="I32" s="16">
        <f>IF(F32="","",COUNTIF('Project Data'!$D$3:$D$10000,F32))</f>
        <v>0</v>
      </c>
      <c r="J32" s="17" t="str">
        <f>IFERROR(I32/SUM(I28:I35),"")</f>
        <v/>
      </c>
    </row>
    <row r="33" spans="1:10" ht="18" customHeight="1">
      <c r="A33" s="15" t="str">
        <f>IF(_Pivot!A22="","",_Pivot!A22)</f>
        <v/>
      </c>
      <c r="B33" s="16" t="str">
        <f>IF(A33="","",_Pivot!B22)</f>
        <v/>
      </c>
      <c r="C33" s="17" t="str">
        <f>IF(A33="","",_Pivot!C22)</f>
        <v/>
      </c>
      <c r="D33" s="18" t="str">
        <f t="shared" si="0"/>
        <v/>
      </c>
      <c r="F33" s="3" t="s">
        <v>56</v>
      </c>
      <c r="G33" s="3"/>
      <c r="H33" s="3"/>
      <c r="I33" s="20">
        <f>IF(F33="","",COUNTIF('Project Data'!$D$3:$D$10000,F33))</f>
        <v>0</v>
      </c>
      <c r="J33" s="21" t="str">
        <f>IFERROR(I33/SUM(I28:I35),"")</f>
        <v/>
      </c>
    </row>
    <row r="34" spans="1:10" ht="18" customHeight="1">
      <c r="A34" s="19" t="str">
        <f>IF(_Pivot!A23="","",_Pivot!A23)</f>
        <v/>
      </c>
      <c r="B34" s="20" t="str">
        <f>IF(A34="","",_Pivot!B23)</f>
        <v/>
      </c>
      <c r="C34" s="21" t="str">
        <f>IF(A34="","",_Pivot!C23)</f>
        <v/>
      </c>
      <c r="D34" s="22" t="str">
        <f t="shared" si="0"/>
        <v/>
      </c>
      <c r="F34" s="4" t="s">
        <v>57</v>
      </c>
      <c r="G34" s="4"/>
      <c r="H34" s="4"/>
      <c r="I34" s="16">
        <f>IF(F34="","",COUNTIF('Project Data'!$D$3:$D$10000,F34))</f>
        <v>0</v>
      </c>
      <c r="J34" s="17" t="str">
        <f>IFERROR(I34/SUM(I28:I35),"")</f>
        <v/>
      </c>
    </row>
    <row r="35" spans="1:10" ht="18" customHeight="1">
      <c r="A35" s="15" t="str">
        <f>IF(_Pivot!A24="","",_Pivot!A24)</f>
        <v/>
      </c>
      <c r="B35" s="16" t="str">
        <f>IF(A35="","",_Pivot!B24)</f>
        <v/>
      </c>
      <c r="C35" s="17" t="str">
        <f>IF(A35="","",_Pivot!C24)</f>
        <v/>
      </c>
      <c r="D35" s="18" t="str">
        <f t="shared" si="0"/>
        <v/>
      </c>
      <c r="F35" s="3" t="s">
        <v>58</v>
      </c>
      <c r="G35" s="3"/>
      <c r="H35" s="3"/>
      <c r="I35" s="20">
        <f>IF(F35="","",COUNTIF('Project Data'!$D$3:$D$10000,F35))</f>
        <v>0</v>
      </c>
      <c r="J35" s="21" t="str">
        <f>IFERROR(I35/SUM(I28:I35),"")</f>
        <v/>
      </c>
    </row>
    <row r="36" spans="1:10" ht="18" customHeight="1">
      <c r="A36" s="19" t="str">
        <f>IF(_Pivot!A25="","",_Pivot!A25)</f>
        <v/>
      </c>
      <c r="B36" s="20" t="str">
        <f>IF(A36="","",_Pivot!B25)</f>
        <v/>
      </c>
      <c r="C36" s="21" t="str">
        <f>IF(A36="","",_Pivot!C25)</f>
        <v/>
      </c>
      <c r="D36" s="22" t="str">
        <f t="shared" si="0"/>
        <v/>
      </c>
    </row>
    <row r="37" spans="1:10" ht="18" customHeight="1">
      <c r="A37" s="15" t="str">
        <f>IF(_Pivot!A26="","",_Pivot!A26)</f>
        <v/>
      </c>
      <c r="B37" s="16" t="str">
        <f>IF(A37="","",_Pivot!B26)</f>
        <v/>
      </c>
      <c r="C37" s="17" t="str">
        <f>IF(A37="","",_Pivot!C26)</f>
        <v/>
      </c>
      <c r="D37" s="18" t="str">
        <f t="shared" si="0"/>
        <v/>
      </c>
    </row>
    <row r="38" spans="1:10" ht="18" customHeight="1">
      <c r="A38" s="19" t="str">
        <f>IF(_Pivot!A27="","",_Pivot!A27)</f>
        <v/>
      </c>
      <c r="B38" s="20" t="str">
        <f>IF(A38="","",_Pivot!B27)</f>
        <v/>
      </c>
      <c r="C38" s="21" t="str">
        <f>IF(A38="","",_Pivot!C27)</f>
        <v/>
      </c>
      <c r="D38" s="22" t="str">
        <f t="shared" si="0"/>
        <v/>
      </c>
    </row>
    <row r="39" spans="1:10" ht="18" customHeight="1">
      <c r="A39" s="15" t="str">
        <f>IF(_Pivot!A28="","",_Pivot!A28)</f>
        <v/>
      </c>
      <c r="B39" s="16" t="str">
        <f>IF(A39="","",_Pivot!B28)</f>
        <v/>
      </c>
      <c r="C39" s="17" t="str">
        <f>IF(A39="","",_Pivot!C28)</f>
        <v/>
      </c>
      <c r="D39" s="18" t="str">
        <f t="shared" si="0"/>
        <v/>
      </c>
    </row>
    <row r="40" spans="1:10" ht="18" customHeight="1">
      <c r="A40" s="19" t="str">
        <f>IF(_Pivot!A29="","",_Pivot!A29)</f>
        <v/>
      </c>
      <c r="B40" s="20" t="str">
        <f>IF(A40="","",_Pivot!B29)</f>
        <v/>
      </c>
      <c r="C40" s="21" t="str">
        <f>IF(A40="","",_Pivot!C29)</f>
        <v/>
      </c>
      <c r="D40" s="22" t="str">
        <f t="shared" si="0"/>
        <v/>
      </c>
    </row>
    <row r="41" spans="1:10" ht="18" customHeight="1">
      <c r="A41" s="15" t="str">
        <f>IF(_Pivot!A30="","",_Pivot!A30)</f>
        <v/>
      </c>
      <c r="B41" s="16" t="str">
        <f>IF(A41="","",_Pivot!B30)</f>
        <v/>
      </c>
      <c r="C41" s="17" t="str">
        <f>IF(A41="","",_Pivot!C30)</f>
        <v/>
      </c>
      <c r="D41" s="18" t="str">
        <f t="shared" si="0"/>
        <v/>
      </c>
    </row>
    <row r="42" spans="1:10" ht="18" customHeight="1">
      <c r="A42" s="19" t="str">
        <f>IF(_Pivot!A31="","",_Pivot!A31)</f>
        <v/>
      </c>
      <c r="B42" s="20" t="str">
        <f>IF(A42="","",_Pivot!B31)</f>
        <v/>
      </c>
      <c r="C42" s="21" t="str">
        <f>IF(A42="","",_Pivot!C31)</f>
        <v/>
      </c>
      <c r="D42" s="22" t="str">
        <f t="shared" si="0"/>
        <v/>
      </c>
    </row>
    <row r="43" spans="1:10" ht="19.5" customHeight="1">
      <c r="A43" s="23" t="s">
        <v>59</v>
      </c>
      <c r="B43" s="24">
        <f>COUNTA('Project Data'!$A$3:$A$10000)</f>
        <v>0</v>
      </c>
      <c r="C43" s="25">
        <f>IFERROR(SUM(C13:C42),"")</f>
        <v>0</v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Data'!$F$3:$F$10000,"Male")</f>
        <v>0</v>
      </c>
      <c r="C47" s="17">
        <f>IFERROR(B47/SUM(B47:B50),0)</f>
        <v>0</v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Data'!$F$3:$F$10000,"Female")</f>
        <v>0</v>
      </c>
      <c r="C48" s="21">
        <f>IFERROR(B48/SUM(B47:B50),0)</f>
        <v>0</v>
      </c>
      <c r="D48" s="22" t="str">
        <f>IFERROR(REPT("█",ROUND(C48*20,0)),"")</f>
        <v/>
      </c>
    </row>
    <row r="49" spans="1:10" ht="18" customHeight="1">
      <c r="A49" s="15" t="s">
        <v>64</v>
      </c>
      <c r="B49" s="20">
        <f>COUNTIF('Project Data'!$F$3:$F$10000,"Non-Binary*")</f>
        <v>0</v>
      </c>
      <c r="C49" s="17">
        <f>IFERROR(B49/SUM(B47:B50),0)</f>
        <v>0</v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Data'!$F$3:$F$10000,A50)</f>
        <v>0</v>
      </c>
      <c r="C50" s="21">
        <f>IFERROR(B50/SUM(B47:B50),0)</f>
        <v>0</v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