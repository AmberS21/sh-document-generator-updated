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01FBE4A7-73A0-4E0D-B268-6FD2002E4A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<sst xmlns="http://schemas.openxmlformats.org/spreadsheetml/2006/main" count="93" uniqueCount="87">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</sst>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i/>
      <sz val="8"/>
      <color rgb="FFAAAAAA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left" vertical="center" indent="1"/>
    </xf>
    <xf numFmtId="0" fontId="22" fillId="9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0" fontId="8" fillId="3" borderId="0" xfId="0" applyFont="1" applyFill="1"/>
    <xf numFmtId="0" fontId="2" fillId="11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5.5" customHeight="1">
      <c r="A2" s="36" t="s">
        <v>7</v>
      </c>
      <c r="B2" s="36" t="s">
        <v>8</v>
      </c>
      <c r="C2" s="36" t="s">
        <v>9</v>
      </c>
      <c r="D2" s="36" t="s">
        <v>10</v>
      </c>
      <c r="E2" s="36" t="s">
        <v>11</v>
      </c>
      <c r="F2" s="36" t="s">
        <v>12</v>
      </c>
      <c r="G2" s="36" t="s">
        <v>13</v>
      </c>
    </row>
    <row r="3" spans="1:7" ht="15.75" customHeight="1">
      <c r="A3" s="2" t="s">
        <v>14</v>
      </c>
    </row>
  </sheetData>
  <autoFilter ref="A2:G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3" t="s">
        <v>15</v>
      </c>
      <c r="B1" s="3" t="s">
        <v>16</v>
      </c>
      <c r="C1" s="3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sqref="A1:J1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30" t="e" vm="1">
        <v>#VALUE!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1.75" customHeight="1">
      <c r="A2" s="31" t="s">
        <v>18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ht="3" customHeight="1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0" ht="7.5" customHeight="1"/>
    <row r="5" spans="1:10" ht="18" customHeight="1">
      <c r="A5" s="33" t="s">
        <v>19</v>
      </c>
      <c r="B5" s="33"/>
      <c r="C5" s="33" t="s">
        <v>20</v>
      </c>
      <c r="D5" s="33"/>
      <c r="E5" s="33" t="s">
        <v>21</v>
      </c>
      <c r="F5" s="33"/>
      <c r="G5" s="33" t="s">
        <v>22</v>
      </c>
      <c r="H5" s="33"/>
      <c r="I5" s="33" t="s">
        <v>23</v>
      </c>
      <c r="J5" s="33"/>
    </row>
    <row r="6" spans="1:10" ht="21.75" customHeight="1">
      <c r="A6" s="29">
        <f>COUNTA('Project Data'!$A$3:$A$10000)</f>
        <v>0</v>
      </c>
      <c r="B6" s="29"/>
      <c r="C6" s="29">
        <f>COUNTIF(_Pivot!B2:B31,"&gt;0")</f>
        <v>0</v>
      </c>
      <c r="D6" s="29"/>
      <c r="E6" s="29">
        <f>COUNTIF('Project Data'!$E$3:$E$10000,"*Interview*")</f>
        <v>0</v>
      </c>
      <c r="F6" s="29"/>
      <c r="G6" s="29">
        <f>COUNTIF('Project Data'!$E$3:$E$10000,"*Offer*")</f>
        <v>0</v>
      </c>
      <c r="H6" s="29"/>
      <c r="I6" s="29">
        <f>COUNTIF('Project Data'!$E$3:$E$10000,"*Placed*")</f>
        <v>0</v>
      </c>
      <c r="J6" s="29"/>
    </row>
    <row r="7" spans="1:10">
      <c r="A7" s="29"/>
      <c r="B7" s="29"/>
      <c r="C7" s="29"/>
      <c r="D7" s="29"/>
      <c r="E7" s="29"/>
      <c r="F7" s="29"/>
      <c r="G7" s="29"/>
      <c r="H7" s="29"/>
      <c r="I7" s="29"/>
      <c r="J7" s="29"/>
    </row>
    <row r="8" spans="1:10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10" ht="3.75" customHeight="1">
      <c r="A9" s="28"/>
      <c r="B9" s="28"/>
      <c r="C9" s="28"/>
      <c r="D9" s="28"/>
      <c r="E9" s="28"/>
      <c r="F9" s="28"/>
      <c r="G9" s="28"/>
      <c r="H9" s="28"/>
      <c r="I9" s="28"/>
      <c r="J9" s="28"/>
    </row>
    <row r="10" spans="1:10" ht="9.75" customHeight="1"/>
    <row r="11" spans="1:10" ht="19.5" customHeight="1">
      <c r="A11" s="24" t="s">
        <v>24</v>
      </c>
      <c r="B11" s="24"/>
      <c r="C11" s="24"/>
      <c r="D11" s="24"/>
      <c r="F11" s="24" t="s">
        <v>25</v>
      </c>
      <c r="G11" s="24"/>
      <c r="H11" s="24"/>
      <c r="I11" s="24"/>
      <c r="J11" s="24"/>
    </row>
    <row r="12" spans="1:10" ht="19.5" customHeight="1">
      <c r="A12" s="4" t="s">
        <v>11</v>
      </c>
      <c r="B12" s="5" t="s">
        <v>26</v>
      </c>
      <c r="C12" s="5" t="s">
        <v>27</v>
      </c>
      <c r="D12" s="5" t="s">
        <v>28</v>
      </c>
      <c r="F12" s="26" t="s">
        <v>29</v>
      </c>
      <c r="G12" s="26"/>
      <c r="H12" s="27" t="s">
        <v>30</v>
      </c>
      <c r="I12" s="27"/>
      <c r="J12" s="27"/>
    </row>
    <row r="13" spans="1:10" ht="19.5" customHeight="1">
      <c r="A13" s="6">
        <f>IF(_Pivot!A2="","",_Pivot!A2)</f>
        <v>0</v>
      </c>
      <c r="B13" s="7">
        <f>IF(A13="","",_Pivot!B2)</f>
        <v>0</v>
      </c>
      <c r="C13" s="8">
        <f>IF(A13="","",_Pivot!C2)</f>
        <v>0</v>
      </c>
      <c r="D13" s="9">
        <f t="shared" ref="D13:D42" si="0">IF(A13="","",IFERROR(REPT("█",ROUND(C13*25,0)),""))</f>
        <v>0</v>
      </c>
      <c r="F13" s="26" t="s">
        <v>31</v>
      </c>
      <c r="G13" s="26"/>
      <c r="H13" s="27" t="s">
        <v>32</v>
      </c>
      <c r="I13" s="27"/>
      <c r="J13" s="27"/>
    </row>
    <row r="14" spans="1:10" ht="19.5" customHeight="1">
      <c r="A14" s="10">
        <f>IF(_Pivot!A3="","",_Pivot!A3)</f>
        <v>0</v>
      </c>
      <c r="B14" s="11">
        <f>IF(A14="","",_Pivot!B3)</f>
        <v>0</v>
      </c>
      <c r="C14" s="12">
        <f>IF(A14="","",_Pivot!C3)</f>
        <v>0</v>
      </c>
      <c r="D14" s="13">
        <f t="shared" si="0"/>
        <v>0</v>
      </c>
      <c r="F14" s="26" t="s">
        <v>33</v>
      </c>
      <c r="G14" s="26"/>
      <c r="H14" s="27" t="s">
        <v>34</v>
      </c>
      <c r="I14" s="27"/>
      <c r="J14" s="27"/>
    </row>
    <row r="15" spans="1:10" ht="19.5" customHeight="1">
      <c r="A15" s="6">
        <f>IF(_Pivot!A4="","",_Pivot!A4)</f>
        <v>0</v>
      </c>
      <c r="B15" s="7">
        <f>IF(A15="","",_Pivot!B4)</f>
        <v>0</v>
      </c>
      <c r="C15" s="8">
        <f>IF(A15="","",_Pivot!C4)</f>
        <v>0</v>
      </c>
      <c r="D15" s="9">
        <f t="shared" si="0"/>
        <v>0</v>
      </c>
      <c r="F15" s="26" t="s">
        <v>35</v>
      </c>
      <c r="G15" s="26"/>
      <c r="H15" s="27" t="s">
        <v>36</v>
      </c>
      <c r="I15" s="27"/>
      <c r="J15" s="27"/>
    </row>
    <row r="16" spans="1:10" ht="19.5" customHeight="1">
      <c r="A16" s="10">
        <f>IF(_Pivot!A5="","",_Pivot!A5)</f>
        <v>0</v>
      </c>
      <c r="B16" s="11">
        <f>IF(A16="","",_Pivot!B5)</f>
        <v>0</v>
      </c>
      <c r="C16" s="12">
        <f>IF(A16="","",_Pivot!C5)</f>
        <v>0</v>
      </c>
      <c r="D16" s="13">
        <f t="shared" si="0"/>
        <v>0</v>
      </c>
      <c r="F16" s="26" t="s">
        <v>37</v>
      </c>
      <c r="G16" s="26"/>
      <c r="H16" s="27" t="s">
        <v>38</v>
      </c>
      <c r="I16" s="27"/>
      <c r="J16" s="27"/>
    </row>
    <row r="17" spans="1:10" ht="19.5" customHeight="1">
      <c r="A17" s="6">
        <f>IF(_Pivot!A6="","",_Pivot!A6)</f>
        <v>0</v>
      </c>
      <c r="B17" s="7">
        <f>IF(A17="","",_Pivot!B6)</f>
        <v>0</v>
      </c>
      <c r="C17" s="8">
        <f>IF(A17="","",_Pivot!C6)</f>
        <v>0</v>
      </c>
      <c r="D17" s="9">
        <f t="shared" si="0"/>
        <v>0</v>
      </c>
      <c r="F17" s="26" t="s">
        <v>39</v>
      </c>
      <c r="G17" s="26"/>
      <c r="H17" s="27" t="s">
        <v>40</v>
      </c>
      <c r="I17" s="27"/>
      <c r="J17" s="27"/>
    </row>
    <row r="18" spans="1:10" ht="19.5" customHeight="1">
      <c r="A18" s="10">
        <f>IF(_Pivot!A7="","",_Pivot!A7)</f>
        <v>0</v>
      </c>
      <c r="B18" s="11">
        <f>IF(A18="","",_Pivot!B7)</f>
        <v>0</v>
      </c>
      <c r="C18" s="12">
        <f>IF(A18="","",_Pivot!C7)</f>
        <v>0</v>
      </c>
      <c r="D18" s="13">
        <f t="shared" si="0"/>
        <v>0</v>
      </c>
      <c r="F18" s="26" t="s">
        <v>41</v>
      </c>
      <c r="G18" s="26"/>
      <c r="H18" s="27" t="s">
        <v>42</v>
      </c>
      <c r="I18" s="27"/>
      <c r="J18" s="27"/>
    </row>
    <row r="19" spans="1:10" ht="19.5" customHeight="1">
      <c r="A19" s="6">
        <f>IF(_Pivot!A8="","",_Pivot!A8)</f>
        <v>0</v>
      </c>
      <c r="B19" s="7">
        <f>IF(A19="","",_Pivot!B8)</f>
        <v>0</v>
      </c>
      <c r="C19" s="8">
        <f>IF(A19="","",_Pivot!C8)</f>
        <v>0</v>
      </c>
      <c r="D19" s="9">
        <f t="shared" si="0"/>
        <v>0</v>
      </c>
      <c r="F19" s="26" t="s">
        <v>43</v>
      </c>
      <c r="G19" s="26"/>
      <c r="H19" s="27" t="s">
        <v>44</v>
      </c>
      <c r="I19" s="27"/>
      <c r="J19" s="27"/>
    </row>
    <row r="20" spans="1:10" ht="19.5" customHeight="1">
      <c r="A20" s="10">
        <f>IF(_Pivot!A9="","",_Pivot!A9)</f>
        <v>0</v>
      </c>
      <c r="B20" s="11">
        <f>IF(A20="","",_Pivot!B9)</f>
        <v>0</v>
      </c>
      <c r="C20" s="12">
        <f>IF(A20="","",_Pivot!C9)</f>
        <v>0</v>
      </c>
      <c r="D20" s="13">
        <f t="shared" si="0"/>
        <v>0</v>
      </c>
      <c r="F20" s="26" t="s">
        <v>45</v>
      </c>
      <c r="G20" s="26"/>
      <c r="H20" s="27" t="s">
        <v>46</v>
      </c>
      <c r="I20" s="27"/>
      <c r="J20" s="27"/>
    </row>
    <row r="21" spans="1:10" ht="19.5" customHeight="1">
      <c r="A21" s="6">
        <f>IF(_Pivot!A10="","",_Pivot!A10)</f>
        <v>0</v>
      </c>
      <c r="B21" s="7">
        <f>IF(A21="","",_Pivot!B10)</f>
        <v>0</v>
      </c>
      <c r="C21" s="8">
        <f>IF(A21="","",_Pivot!C10)</f>
        <v>0</v>
      </c>
      <c r="D21" s="9">
        <f t="shared" si="0"/>
        <v>0</v>
      </c>
      <c r="F21" s="26" t="s">
        <v>47</v>
      </c>
      <c r="G21" s="26"/>
      <c r="H21" s="27" t="s">
        <v>48</v>
      </c>
      <c r="I21" s="27"/>
      <c r="J21" s="27"/>
    </row>
    <row r="22" spans="1:10" ht="18" customHeight="1">
      <c r="A22" s="10">
        <f>IF(_Pivot!A11="","",_Pivot!A11)</f>
        <v>0</v>
      </c>
      <c r="B22" s="11">
        <f>IF(A22="","",_Pivot!B11)</f>
        <v>0</v>
      </c>
      <c r="C22" s="12">
        <f>IF(A22="","",_Pivot!C11)</f>
        <v>0</v>
      </c>
      <c r="D22" s="13">
        <f t="shared" si="0"/>
        <v>0</v>
      </c>
    </row>
    <row r="23" spans="1:10" ht="18" customHeight="1">
      <c r="A23" s="6">
        <f>IF(_Pivot!A12="","",_Pivot!A12)</f>
        <v>0</v>
      </c>
      <c r="B23" s="7">
        <f>IF(A23="","",_Pivot!B12)</f>
        <v>0</v>
      </c>
      <c r="C23" s="8">
        <f>IF(A23="","",_Pivot!C12)</f>
        <v>0</v>
      </c>
      <c r="D23" s="9">
        <f t="shared" si="0"/>
        <v>0</v>
      </c>
    </row>
    <row r="24" spans="1:10" ht="18" customHeight="1">
      <c r="A24" s="10">
        <f>IF(_Pivot!A13="","",_Pivot!A13)</f>
        <v>0</v>
      </c>
      <c r="B24" s="11">
        <f>IF(A24="","",_Pivot!B13)</f>
        <v>0</v>
      </c>
      <c r="C24" s="12">
        <f>IF(A24="","",_Pivot!C13)</f>
        <v>0</v>
      </c>
      <c r="D24" s="13">
        <f t="shared" si="0"/>
        <v>0</v>
      </c>
    </row>
    <row r="25" spans="1:10" ht="18" customHeight="1">
      <c r="A25" s="6">
        <f>IF(_Pivot!A14="","",_Pivot!A14)</f>
        <v>0</v>
      </c>
      <c r="B25" s="7">
        <f>IF(A25="","",_Pivot!B14)</f>
        <v>0</v>
      </c>
      <c r="C25" s="8">
        <f>IF(A25="","",_Pivot!C14)</f>
        <v>0</v>
      </c>
      <c r="D25" s="9">
        <f t="shared" si="0"/>
        <v>0</v>
      </c>
    </row>
    <row r="26" spans="1:10" ht="19.5" customHeight="1">
      <c r="A26" s="10">
        <f>IF(_Pivot!A15="","",_Pivot!A15)</f>
        <v>0</v>
      </c>
      <c r="B26" s="11">
        <f>IF(A26="","",_Pivot!B15)</f>
        <v>0</v>
      </c>
      <c r="C26" s="12">
        <f>IF(A26="","",_Pivot!C15)</f>
        <v>0</v>
      </c>
      <c r="D26" s="13">
        <f t="shared" si="0"/>
        <v>0</v>
      </c>
      <c r="F26" s="24" t="s">
        <v>49</v>
      </c>
      <c r="G26" s="24"/>
      <c r="H26" s="24"/>
      <c r="I26" s="24"/>
      <c r="J26" s="24"/>
    </row>
    <row r="27" spans="1:10" ht="19.5" customHeight="1">
      <c r="A27" s="6">
        <f>IF(_Pivot!A16="","",_Pivot!A16)</f>
        <v>0</v>
      </c>
      <c r="B27" s="7">
        <f>IF(A27="","",_Pivot!B16)</f>
        <v>0</v>
      </c>
      <c r="C27" s="8">
        <f>IF(A27="","",_Pivot!C16)</f>
        <v>0</v>
      </c>
      <c r="D27" s="9">
        <f t="shared" si="0"/>
        <v>0</v>
      </c>
      <c r="F27" s="5" t="s">
        <v>10</v>
      </c>
      <c r="G27" s="5"/>
      <c r="H27" s="5"/>
      <c r="I27" s="5" t="s">
        <v>26</v>
      </c>
      <c r="J27" s="5" t="s">
        <v>50</v>
      </c>
    </row>
    <row r="28" spans="1:10" ht="18" customHeight="1">
      <c r="A28" s="10">
        <f>IF(_Pivot!A17="","",_Pivot!A17)</f>
        <v>0</v>
      </c>
      <c r="B28" s="11">
        <f>IF(A28="","",_Pivot!B17)</f>
        <v>0</v>
      </c>
      <c r="C28" s="12">
        <f>IF(A28="","",_Pivot!C17)</f>
        <v>0</v>
      </c>
      <c r="D28" s="13">
        <f t="shared" si="0"/>
        <v>0</v>
      </c>
      <c r="F28" s="23" t="s">
        <v>51</v>
      </c>
      <c r="G28" s="23"/>
      <c r="H28" s="23"/>
      <c r="I28" s="7">
        <f>IF(F28="","",COUNTIF('Project Data'!$D$3:$D$10000,F28))</f>
        <v>0</v>
      </c>
      <c r="J28" s="8">
        <f t="shared" ref="J28:J35" si="1">IFERROR(I28/SUM($I$28:$I$35),"")</f>
        <v>0</v>
      </c>
    </row>
    <row r="29" spans="1:10" ht="18" customHeight="1">
      <c r="A29" s="6">
        <f>IF(_Pivot!A18="","",_Pivot!A18)</f>
        <v>0</v>
      </c>
      <c r="B29" s="7">
        <f>IF(A29="","",_Pivot!B18)</f>
        <v>0</v>
      </c>
      <c r="C29" s="8">
        <f>IF(A29="","",_Pivot!C18)</f>
        <v>0</v>
      </c>
      <c r="D29" s="9">
        <f t="shared" si="0"/>
        <v>0</v>
      </c>
      <c r="F29" s="22" t="s">
        <v>52</v>
      </c>
      <c r="G29" s="22"/>
      <c r="H29" s="22"/>
      <c r="I29" s="11">
        <f>IF(F29="","",COUNTIF('Project Data'!$D$3:$D$10000,F29))</f>
        <v>0</v>
      </c>
      <c r="J29" s="12">
        <f t="shared" si="1"/>
        <v>0</v>
      </c>
    </row>
    <row r="30" spans="1:10" ht="18" customHeight="1">
      <c r="A30" s="10">
        <f>IF(_Pivot!A19="","",_Pivot!A19)</f>
        <v>0</v>
      </c>
      <c r="B30" s="11">
        <f>IF(A30="","",_Pivot!B19)</f>
        <v>0</v>
      </c>
      <c r="C30" s="12">
        <f>IF(A30="","",_Pivot!C19)</f>
        <v>0</v>
      </c>
      <c r="D30" s="13">
        <f t="shared" si="0"/>
        <v>0</v>
      </c>
      <c r="F30" s="23" t="s">
        <v>53</v>
      </c>
      <c r="G30" s="23"/>
      <c r="H30" s="23"/>
      <c r="I30" s="7">
        <f>IF(F30="","",COUNTIF('Project Data'!$D$3:$D$10000,F30))</f>
        <v>0</v>
      </c>
      <c r="J30" s="8">
        <f t="shared" si="1"/>
        <v>0</v>
      </c>
    </row>
    <row r="31" spans="1:10" ht="18" customHeight="1">
      <c r="A31" s="6">
        <f>IF(_Pivot!A20="","",_Pivot!A20)</f>
        <v>0</v>
      </c>
      <c r="B31" s="7">
        <f>IF(A31="","",_Pivot!B20)</f>
        <v>0</v>
      </c>
      <c r="C31" s="8">
        <f>IF(A31="","",_Pivot!C20)</f>
        <v>0</v>
      </c>
      <c r="D31" s="9">
        <f t="shared" si="0"/>
        <v>0</v>
      </c>
      <c r="F31" s="22" t="s">
        <v>54</v>
      </c>
      <c r="G31" s="22"/>
      <c r="H31" s="22"/>
      <c r="I31" s="11">
        <f>IF(F31="","",COUNTIF('Project Data'!$D$3:$D$10000,F31))</f>
        <v>0</v>
      </c>
      <c r="J31" s="12">
        <f t="shared" si="1"/>
        <v>0</v>
      </c>
    </row>
    <row r="32" spans="1:10" ht="18" customHeight="1">
      <c r="A32" s="10">
        <f>IF(_Pivot!A21="","",_Pivot!A21)</f>
        <v>0</v>
      </c>
      <c r="B32" s="11">
        <f>IF(A32="","",_Pivot!B21)</f>
        <v>0</v>
      </c>
      <c r="C32" s="12">
        <f>IF(A32="","",_Pivot!C21)</f>
        <v>0</v>
      </c>
      <c r="D32" s="13">
        <f t="shared" si="0"/>
        <v>0</v>
      </c>
      <c r="F32" s="23" t="s">
        <v>55</v>
      </c>
      <c r="G32" s="23"/>
      <c r="H32" s="23"/>
      <c r="I32" s="7">
        <f>IF(F32="","",COUNTIF('Project Data'!$D$3:$D$10000,F32))</f>
        <v>0</v>
      </c>
      <c r="J32" s="8">
        <f t="shared" si="1"/>
        <v>0</v>
      </c>
    </row>
    <row r="33" spans="1:10" ht="18" customHeight="1">
      <c r="A33" s="6">
        <f>IF(_Pivot!A22="","",_Pivot!A22)</f>
        <v>0</v>
      </c>
      <c r="B33" s="7">
        <f>IF(A33="","",_Pivot!B22)</f>
        <v>0</v>
      </c>
      <c r="C33" s="8">
        <f>IF(A33="","",_Pivot!C22)</f>
        <v>0</v>
      </c>
      <c r="D33" s="9">
        <f t="shared" si="0"/>
        <v>0</v>
      </c>
      <c r="F33" s="22" t="s">
        <v>56</v>
      </c>
      <c r="G33" s="22"/>
      <c r="H33" s="22"/>
      <c r="I33" s="11">
        <f>IF(F33="","",COUNTIF('Project Data'!$D$3:$D$10000,F33))</f>
        <v>0</v>
      </c>
      <c r="J33" s="12">
        <f t="shared" si="1"/>
        <v>0</v>
      </c>
    </row>
    <row r="34" spans="1:10" ht="18" customHeight="1">
      <c r="A34" s="10">
        <f>IF(_Pivot!A23="","",_Pivot!A23)</f>
        <v>0</v>
      </c>
      <c r="B34" s="11">
        <f>IF(A34="","",_Pivot!B23)</f>
        <v>0</v>
      </c>
      <c r="C34" s="12">
        <f>IF(A34="","",_Pivot!C23)</f>
        <v>0</v>
      </c>
      <c r="D34" s="13">
        <f t="shared" si="0"/>
        <v>0</v>
      </c>
      <c r="F34" s="23" t="s">
        <v>57</v>
      </c>
      <c r="G34" s="23"/>
      <c r="H34" s="23"/>
      <c r="I34" s="7">
        <f>IF(F34="","",COUNTIF('Project Data'!$D$3:$D$10000,F34))</f>
        <v>0</v>
      </c>
      <c r="J34" s="8">
        <f t="shared" si="1"/>
        <v>0</v>
      </c>
    </row>
    <row r="35" spans="1:10" ht="18" customHeight="1">
      <c r="A35" s="6">
        <f>IF(_Pivot!A24="","",_Pivot!A24)</f>
        <v>0</v>
      </c>
      <c r="B35" s="7">
        <f>IF(A35="","",_Pivot!B24)</f>
        <v>0</v>
      </c>
      <c r="C35" s="8">
        <f>IF(A35="","",_Pivot!C24)</f>
        <v>0</v>
      </c>
      <c r="D35" s="9">
        <f t="shared" si="0"/>
        <v>0</v>
      </c>
      <c r="F35" s="22" t="s">
        <v>58</v>
      </c>
      <c r="G35" s="22"/>
      <c r="H35" s="22"/>
      <c r="I35" s="11">
        <f>IF(F35="","",COUNTIF('Project Data'!$D$3:$D$10000,F35))</f>
        <v>0</v>
      </c>
      <c r="J35" s="12">
        <f t="shared" si="1"/>
        <v>0</v>
      </c>
    </row>
    <row r="36" spans="1:10" ht="18" customHeight="1">
      <c r="A36" s="10">
        <f>IF(_Pivot!A25="","",_Pivot!A25)</f>
        <v>0</v>
      </c>
      <c r="B36" s="11">
        <f>IF(A36="","",_Pivot!B25)</f>
        <v>0</v>
      </c>
      <c r="C36" s="12">
        <f>IF(A36="","",_Pivot!C25)</f>
        <v>0</v>
      </c>
      <c r="D36" s="13">
        <f t="shared" si="0"/>
        <v>0</v>
      </c>
    </row>
    <row r="37" spans="1:10" ht="18" customHeight="1">
      <c r="A37" s="6">
        <f>IF(_Pivot!A26="","",_Pivot!A26)</f>
        <v>0</v>
      </c>
      <c r="B37" s="7">
        <f>IF(A37="","",_Pivot!B26)</f>
        <v>0</v>
      </c>
      <c r="C37" s="8">
        <f>IF(A37="","",_Pivot!C26)</f>
        <v>0</v>
      </c>
      <c r="D37" s="9">
        <f t="shared" si="0"/>
        <v>0</v>
      </c>
    </row>
    <row r="38" spans="1:10" ht="18" customHeight="1">
      <c r="A38" s="10">
        <f>IF(_Pivot!A27="","",_Pivot!A27)</f>
        <v>0</v>
      </c>
      <c r="B38" s="11">
        <f>IF(A38="","",_Pivot!B27)</f>
        <v>0</v>
      </c>
      <c r="C38" s="12">
        <f>IF(A38="","",_Pivot!C27)</f>
        <v>0</v>
      </c>
      <c r="D38" s="13">
        <f t="shared" si="0"/>
        <v>0</v>
      </c>
    </row>
    <row r="39" spans="1:10" ht="18" customHeight="1">
      <c r="A39" s="6">
        <f>IF(_Pivot!A28="","",_Pivot!A28)</f>
        <v>0</v>
      </c>
      <c r="B39" s="7">
        <f>IF(A39="","",_Pivot!B28)</f>
        <v>0</v>
      </c>
      <c r="C39" s="8">
        <f>IF(A39="","",_Pivot!C28)</f>
        <v>0</v>
      </c>
      <c r="D39" s="9">
        <f t="shared" si="0"/>
        <v>0</v>
      </c>
    </row>
    <row r="40" spans="1:10" ht="18" customHeight="1">
      <c r="A40" s="10">
        <f>IF(_Pivot!A29="","",_Pivot!A29)</f>
        <v>0</v>
      </c>
      <c r="B40" s="11">
        <f>IF(A40="","",_Pivot!B29)</f>
        <v>0</v>
      </c>
      <c r="C40" s="12">
        <f>IF(A40="","",_Pivot!C29)</f>
        <v>0</v>
      </c>
      <c r="D40" s="13">
        <f t="shared" si="0"/>
        <v>0</v>
      </c>
    </row>
    <row r="41" spans="1:10" ht="18" customHeight="1">
      <c r="A41" s="6">
        <f>IF(_Pivot!A30="","",_Pivot!A30)</f>
        <v>0</v>
      </c>
      <c r="B41" s="7">
        <f>IF(A41="","",_Pivot!B30)</f>
        <v>0</v>
      </c>
      <c r="C41" s="8">
        <f>IF(A41="","",_Pivot!C30)</f>
        <v>0</v>
      </c>
      <c r="D41" s="9">
        <f t="shared" si="0"/>
        <v>0</v>
      </c>
    </row>
    <row r="42" spans="1:10" ht="18" customHeight="1">
      <c r="A42" s="10">
        <f>IF(_Pivot!A31="","",_Pivot!A31)</f>
        <v>0</v>
      </c>
      <c r="B42" s="11">
        <f>IF(A42="","",_Pivot!B31)</f>
        <v>0</v>
      </c>
      <c r="C42" s="12">
        <f>IF(A42="","",_Pivot!C31)</f>
        <v>0</v>
      </c>
      <c r="D42" s="13">
        <f t="shared" si="0"/>
        <v>0</v>
      </c>
    </row>
    <row r="43" spans="1:10" ht="19.5" customHeight="1">
      <c r="A43" s="14" t="s">
        <v>59</v>
      </c>
      <c r="B43" s="15">
        <f>COUNTA('Project Data'!$A$3:$A$10000)</f>
        <v>0</v>
      </c>
      <c r="C43" s="16">
        <f>IFERROR(SUM(C13:C42),"")</f>
        <v>0</v>
      </c>
      <c r="D43" s="17"/>
    </row>
    <row r="44" spans="1:10" ht="9.75" customHeight="1"/>
    <row r="45" spans="1:10" ht="19.5" customHeight="1">
      <c r="A45" s="24" t="s">
        <v>60</v>
      </c>
      <c r="B45" s="24"/>
      <c r="C45" s="24"/>
      <c r="D45" s="24"/>
    </row>
    <row r="46" spans="1:10" ht="19.5" customHeight="1">
      <c r="A46" s="4" t="s">
        <v>12</v>
      </c>
      <c r="B46" s="5" t="s">
        <v>26</v>
      </c>
      <c r="C46" s="5" t="s">
        <v>50</v>
      </c>
      <c r="D46" s="5" t="s">
        <v>61</v>
      </c>
    </row>
    <row r="47" spans="1:10" ht="18" customHeight="1">
      <c r="A47" s="6" t="s">
        <v>62</v>
      </c>
      <c r="B47" s="7">
        <f>COUNTIF('Project Data'!$F$3:$F$10000,"Male")</f>
        <v>0</v>
      </c>
      <c r="C47" s="8">
        <f>IFERROR(B47/SUM(B47:B50),0)</f>
        <v>0</v>
      </c>
      <c r="D47" s="9" t="str">
        <f>IFERROR(REPT("█",ROUND(C47*20,0)),"")</f>
        <v/>
      </c>
    </row>
    <row r="48" spans="1:10" ht="18" customHeight="1">
      <c r="A48" s="10" t="s">
        <v>63</v>
      </c>
      <c r="B48" s="11">
        <f>COUNTIF('Project Data'!$F$3:$F$10000,"Female")</f>
        <v>0</v>
      </c>
      <c r="C48" s="12">
        <f>IFERROR(B48/SUM(B47:B50),0)</f>
        <v>0</v>
      </c>
      <c r="D48" s="13" t="str">
        <f>IFERROR(REPT("█",ROUND(C48*20,0)),"")</f>
        <v/>
      </c>
    </row>
    <row r="49" spans="1:10" ht="18" customHeight="1">
      <c r="A49" s="6" t="s">
        <v>64</v>
      </c>
      <c r="B49" s="7">
        <f>COUNTIF('Project Data'!$F$3:$F$10000,"Non-Binary*")</f>
        <v>0</v>
      </c>
      <c r="C49" s="8">
        <f>IFERROR(B49/SUM(B47:B50),0)</f>
        <v>0</v>
      </c>
      <c r="D49" s="9" t="str">
        <f>IFERROR(REPT("█",ROUND(C49*20,0)),"")</f>
        <v/>
      </c>
    </row>
    <row r="50" spans="1:10" ht="18" customHeight="1">
      <c r="A50" s="10" t="s">
        <v>65</v>
      </c>
      <c r="B50" s="11">
        <f>COUNTIF('Project Data'!$F$3:$F$10000,"Not Specified")</f>
        <v>0</v>
      </c>
      <c r="C50" s="12">
        <f>IFERROR(B50/SUM(B47:B50),0)</f>
        <v>0</v>
      </c>
      <c r="D50" s="13" t="str">
        <f>IFERROR(REPT("█",ROUND(C50*20,0)),"")</f>
        <v/>
      </c>
    </row>
    <row r="51" spans="1:10" ht="9.75" customHeight="1"/>
    <row r="54" spans="1:10" ht="3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ht="18" customHeight="1">
      <c r="A55" s="21" t="s">
        <v>86</v>
      </c>
      <c r="B55" s="21"/>
      <c r="C55" s="21"/>
      <c r="D55" s="21"/>
      <c r="E55" s="21"/>
      <c r="F55" s="21"/>
      <c r="G55" s="21"/>
      <c r="H55" s="21"/>
      <c r="I55" s="21"/>
      <c r="J55" s="21"/>
    </row>
  </sheetData>
  <mergeCells count="52">
    <mergeCell ref="A1:J1"/>
    <mergeCell ref="A2:J2"/>
    <mergeCell ref="A3:J3"/>
    <mergeCell ref="A5:B5"/>
    <mergeCell ref="C5:D5"/>
    <mergeCell ref="E5:F5"/>
    <mergeCell ref="G5:H5"/>
    <mergeCell ref="I5:J5"/>
    <mergeCell ref="A6:B8"/>
    <mergeCell ref="C6:D8"/>
    <mergeCell ref="E6:F8"/>
    <mergeCell ref="G6:H8"/>
    <mergeCell ref="I6:J8"/>
    <mergeCell ref="A9:B9"/>
    <mergeCell ref="C9:D9"/>
    <mergeCell ref="E9:F9"/>
    <mergeCell ref="G9:H9"/>
    <mergeCell ref="I9:J9"/>
    <mergeCell ref="A11:D11"/>
    <mergeCell ref="F11:J11"/>
    <mergeCell ref="F12:G12"/>
    <mergeCell ref="H12:J12"/>
    <mergeCell ref="F13:G13"/>
    <mergeCell ref="H13:J13"/>
    <mergeCell ref="F14:G14"/>
    <mergeCell ref="H14:J14"/>
    <mergeCell ref="F15:G15"/>
    <mergeCell ref="H15:J15"/>
    <mergeCell ref="F16:G16"/>
    <mergeCell ref="H16:J16"/>
    <mergeCell ref="F17:G17"/>
    <mergeCell ref="H17:J17"/>
    <mergeCell ref="F18:G18"/>
    <mergeCell ref="H18:J18"/>
    <mergeCell ref="F19:G19"/>
    <mergeCell ref="H19:J19"/>
    <mergeCell ref="F20:G20"/>
    <mergeCell ref="H20:J20"/>
    <mergeCell ref="F21:G21"/>
    <mergeCell ref="H21:J21"/>
    <mergeCell ref="F26:J26"/>
    <mergeCell ref="F28:H28"/>
    <mergeCell ref="F29:H29"/>
    <mergeCell ref="F30:H30"/>
    <mergeCell ref="F31:H31"/>
    <mergeCell ref="F32:H32"/>
    <mergeCell ref="A55:J55"/>
    <mergeCell ref="F33:H33"/>
    <mergeCell ref="F34:H34"/>
    <mergeCell ref="F35:H35"/>
    <mergeCell ref="A45:D45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66</v>
      </c>
      <c r="B1" s="34"/>
      <c r="C1" s="34"/>
      <c r="D1" s="34"/>
      <c r="E1" s="34"/>
      <c r="F1" s="34"/>
    </row>
    <row r="2" spans="1:6" ht="21.75" customHeight="1">
      <c r="A2" s="35" t="s">
        <v>67</v>
      </c>
      <c r="B2" s="35"/>
      <c r="C2" s="35"/>
      <c r="D2" s="35"/>
      <c r="E2" s="35"/>
      <c r="F2" s="35"/>
    </row>
    <row r="3" spans="1:6" ht="15.75" customHeight="1">
      <c r="A3" s="18" t="s">
        <v>68</v>
      </c>
      <c r="B3" s="19" t="s">
        <v>69</v>
      </c>
    </row>
    <row r="4" spans="1:6" ht="15.75" customHeight="1">
      <c r="A4" s="18" t="s">
        <v>70</v>
      </c>
      <c r="B4" s="19" t="s">
        <v>71</v>
      </c>
    </row>
    <row r="5" spans="1:6" ht="15.75" customHeight="1">
      <c r="A5" s="18" t="s">
        <v>72</v>
      </c>
      <c r="B5" s="19" t="s">
        <v>73</v>
      </c>
    </row>
    <row r="6" spans="1:6" ht="15.75" customHeight="1">
      <c r="A6" s="20"/>
      <c r="B6" s="19"/>
    </row>
    <row r="7" spans="1:6" ht="21.75" customHeight="1">
      <c r="A7" s="35" t="s">
        <v>74</v>
      </c>
      <c r="B7" s="35"/>
      <c r="C7" s="35"/>
      <c r="D7" s="35"/>
      <c r="E7" s="35"/>
      <c r="F7" s="35"/>
    </row>
    <row r="8" spans="1:6" ht="15.75" customHeight="1">
      <c r="A8" s="18" t="s">
        <v>75</v>
      </c>
      <c r="B8" s="19" t="s">
        <v>76</v>
      </c>
    </row>
    <row r="9" spans="1:6" ht="15.75" customHeight="1">
      <c r="A9" s="18" t="s">
        <v>77</v>
      </c>
      <c r="B9" s="19" t="s">
        <v>78</v>
      </c>
    </row>
    <row r="10" spans="1:6" ht="15.75" customHeight="1">
      <c r="A10" s="18" t="s">
        <v>79</v>
      </c>
      <c r="B10" s="19" t="s">
        <v>80</v>
      </c>
    </row>
    <row r="11" spans="1:6" ht="15.75" customHeight="1">
      <c r="A11" s="20"/>
      <c r="B11" s="19"/>
    </row>
    <row r="12" spans="1:6" ht="21.75" customHeight="1">
      <c r="A12" s="35" t="s">
        <v>81</v>
      </c>
      <c r="B12" s="35"/>
      <c r="C12" s="35"/>
      <c r="D12" s="35"/>
      <c r="E12" s="35"/>
      <c r="F12" s="35"/>
    </row>
    <row r="13" spans="1:6" ht="15.75" customHeight="1">
      <c r="A13" s="18" t="s">
        <v>82</v>
      </c>
      <c r="B13" s="19" t="s">
        <v>83</v>
      </c>
    </row>
    <row r="14" spans="1:6" ht="15.75" customHeight="1">
      <c r="A14" s="18" t="s">
        <v>84</v>
      </c>
      <c r="B14" s="19" t="s">
        <v>85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2026-05-25T14:04:56Z</dcterms:modified>
  <dc:language>en-US</dc:language>
</cp:coreProperties>
</file>